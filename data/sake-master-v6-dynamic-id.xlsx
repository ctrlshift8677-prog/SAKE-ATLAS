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esktop\清酒網站素材\"/>
    </mc:Choice>
  </mc:AlternateContent>
  <xr:revisionPtr revIDLastSave="0" documentId="13_ncr:1_{9DEB1956-F31E-4185-819C-512511B5C25B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酒款主資料" sheetId="1" r:id="rId1"/>
    <sheet name="品飲紀錄" sheetId="2" r:id="rId2"/>
    <sheet name="填寫說明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2" l="1"/>
  <c r="C177" i="2"/>
  <c r="D487" i="2"/>
  <c r="C487" i="2"/>
  <c r="D486" i="2"/>
  <c r="C486" i="2"/>
  <c r="D485" i="2"/>
  <c r="C485" i="2"/>
  <c r="D484" i="2"/>
  <c r="C484" i="2"/>
  <c r="D483" i="2"/>
  <c r="C483" i="2"/>
  <c r="D482" i="2"/>
  <c r="C482" i="2"/>
  <c r="D481" i="2"/>
  <c r="C481" i="2"/>
  <c r="D480" i="2"/>
  <c r="C480" i="2"/>
  <c r="D479" i="2"/>
  <c r="C479" i="2"/>
  <c r="D478" i="2"/>
  <c r="C478" i="2"/>
  <c r="D477" i="2"/>
  <c r="C477" i="2"/>
  <c r="D476" i="2"/>
  <c r="C476" i="2"/>
  <c r="D475" i="2"/>
  <c r="C475" i="2"/>
  <c r="D474" i="2"/>
  <c r="C474" i="2"/>
  <c r="D473" i="2"/>
  <c r="C473" i="2"/>
  <c r="D472" i="2"/>
  <c r="C472" i="2"/>
  <c r="D471" i="2"/>
  <c r="C471" i="2"/>
  <c r="D470" i="2"/>
  <c r="C470" i="2"/>
  <c r="D469" i="2"/>
  <c r="C469" i="2"/>
  <c r="D468" i="2"/>
  <c r="C468" i="2"/>
  <c r="D467" i="2"/>
  <c r="C467" i="2"/>
  <c r="D466" i="2"/>
  <c r="C466" i="2"/>
  <c r="D465" i="2"/>
  <c r="C465" i="2"/>
  <c r="D464" i="2"/>
  <c r="C464" i="2"/>
  <c r="D463" i="2"/>
  <c r="C463" i="2"/>
  <c r="D462" i="2"/>
  <c r="C462" i="2"/>
  <c r="D461" i="2"/>
  <c r="C461" i="2"/>
  <c r="D460" i="2"/>
  <c r="C460" i="2"/>
  <c r="D459" i="2"/>
  <c r="C459" i="2"/>
  <c r="D458" i="2"/>
  <c r="C458" i="2"/>
  <c r="D457" i="2"/>
  <c r="C457" i="2"/>
  <c r="D456" i="2"/>
  <c r="C456" i="2"/>
  <c r="D455" i="2"/>
  <c r="C455" i="2"/>
  <c r="D454" i="2"/>
  <c r="C454" i="2"/>
  <c r="D453" i="2"/>
  <c r="C453" i="2"/>
  <c r="D452" i="2"/>
  <c r="C452" i="2"/>
  <c r="D451" i="2"/>
  <c r="C451" i="2"/>
  <c r="D450" i="2"/>
  <c r="C450" i="2"/>
  <c r="D449" i="2"/>
  <c r="C449" i="2"/>
  <c r="D448" i="2"/>
  <c r="C448" i="2"/>
  <c r="D447" i="2"/>
  <c r="C447" i="2"/>
  <c r="D446" i="2"/>
  <c r="C446" i="2"/>
  <c r="D445" i="2"/>
  <c r="C445" i="2"/>
  <c r="D444" i="2"/>
  <c r="C444" i="2"/>
  <c r="D443" i="2"/>
  <c r="C443" i="2"/>
  <c r="D442" i="2"/>
  <c r="C442" i="2"/>
  <c r="D441" i="2"/>
  <c r="C441" i="2"/>
  <c r="D440" i="2"/>
  <c r="C440" i="2"/>
  <c r="D439" i="2"/>
  <c r="C439" i="2"/>
  <c r="D438" i="2"/>
  <c r="C438" i="2"/>
  <c r="D437" i="2"/>
  <c r="C437" i="2"/>
  <c r="D436" i="2"/>
  <c r="C436" i="2"/>
  <c r="D435" i="2"/>
  <c r="C435" i="2"/>
  <c r="D434" i="2"/>
  <c r="C434" i="2"/>
  <c r="D433" i="2"/>
  <c r="C433" i="2"/>
  <c r="D432" i="2"/>
  <c r="C432" i="2"/>
  <c r="D431" i="2"/>
  <c r="C431" i="2"/>
  <c r="D430" i="2"/>
  <c r="C430" i="2"/>
  <c r="D429" i="2"/>
  <c r="C429" i="2"/>
  <c r="D428" i="2"/>
  <c r="C428" i="2"/>
  <c r="D427" i="2"/>
  <c r="C427" i="2"/>
  <c r="D426" i="2"/>
  <c r="C426" i="2"/>
  <c r="D425" i="2"/>
  <c r="C425" i="2"/>
  <c r="D424" i="2"/>
  <c r="C424" i="2"/>
  <c r="D423" i="2"/>
  <c r="C423" i="2"/>
  <c r="D422" i="2"/>
  <c r="C422" i="2"/>
  <c r="D421" i="2"/>
  <c r="C421" i="2"/>
  <c r="D420" i="2"/>
  <c r="C420" i="2"/>
  <c r="D419" i="2"/>
  <c r="C419" i="2"/>
  <c r="D418" i="2"/>
  <c r="C418" i="2"/>
  <c r="D417" i="2"/>
  <c r="C417" i="2"/>
  <c r="D416" i="2"/>
  <c r="C416" i="2"/>
  <c r="D415" i="2"/>
  <c r="C415" i="2"/>
  <c r="D414" i="2"/>
  <c r="C414" i="2"/>
  <c r="D413" i="2"/>
  <c r="C413" i="2"/>
  <c r="D412" i="2"/>
  <c r="C412" i="2"/>
  <c r="D411" i="2"/>
  <c r="C411" i="2"/>
  <c r="D410" i="2"/>
  <c r="C410" i="2"/>
  <c r="D409" i="2"/>
  <c r="C409" i="2"/>
  <c r="D408" i="2"/>
  <c r="C408" i="2"/>
  <c r="D407" i="2"/>
  <c r="C407" i="2"/>
  <c r="D406" i="2"/>
  <c r="C406" i="2"/>
  <c r="D405" i="2"/>
  <c r="C405" i="2"/>
  <c r="D404" i="2"/>
  <c r="C404" i="2"/>
  <c r="D403" i="2"/>
  <c r="C403" i="2"/>
  <c r="D402" i="2"/>
  <c r="C402" i="2"/>
  <c r="D401" i="2"/>
  <c r="C401" i="2"/>
  <c r="D400" i="2"/>
  <c r="C400" i="2"/>
  <c r="D399" i="2"/>
  <c r="C399" i="2"/>
  <c r="D398" i="2"/>
  <c r="C398" i="2"/>
  <c r="D397" i="2"/>
  <c r="C397" i="2"/>
  <c r="D396" i="2"/>
  <c r="C396" i="2"/>
  <c r="D395" i="2"/>
  <c r="C395" i="2"/>
  <c r="D394" i="2"/>
  <c r="C394" i="2"/>
  <c r="D393" i="2"/>
  <c r="C393" i="2"/>
  <c r="D392" i="2"/>
  <c r="C392" i="2"/>
  <c r="D391" i="2"/>
  <c r="C391" i="2"/>
  <c r="D390" i="2"/>
  <c r="C390" i="2"/>
  <c r="D389" i="2"/>
  <c r="C389" i="2"/>
  <c r="D388" i="2"/>
  <c r="C388" i="2"/>
  <c r="D387" i="2"/>
  <c r="C387" i="2"/>
  <c r="D386" i="2"/>
  <c r="C386" i="2"/>
  <c r="D385" i="2"/>
  <c r="C385" i="2"/>
  <c r="D384" i="2"/>
  <c r="C384" i="2"/>
  <c r="D383" i="2"/>
  <c r="C383" i="2"/>
  <c r="D382" i="2"/>
  <c r="C382" i="2"/>
  <c r="D381" i="2"/>
  <c r="C381" i="2"/>
  <c r="D380" i="2"/>
  <c r="C380" i="2"/>
  <c r="D379" i="2"/>
  <c r="C379" i="2"/>
  <c r="D378" i="2"/>
  <c r="C378" i="2"/>
  <c r="D377" i="2"/>
  <c r="C377" i="2"/>
  <c r="D376" i="2"/>
  <c r="C376" i="2"/>
  <c r="D375" i="2"/>
  <c r="C375" i="2"/>
  <c r="D374" i="2"/>
  <c r="C374" i="2"/>
  <c r="D373" i="2"/>
  <c r="C373" i="2"/>
  <c r="D372" i="2"/>
  <c r="C372" i="2"/>
  <c r="D371" i="2"/>
  <c r="C371" i="2"/>
  <c r="D370" i="2"/>
  <c r="C370" i="2"/>
  <c r="D369" i="2"/>
  <c r="C369" i="2"/>
  <c r="D368" i="2"/>
  <c r="C368" i="2"/>
  <c r="D367" i="2"/>
  <c r="C367" i="2"/>
  <c r="D366" i="2"/>
  <c r="C366" i="2"/>
  <c r="D365" i="2"/>
  <c r="C365" i="2"/>
  <c r="D364" i="2"/>
  <c r="C364" i="2"/>
  <c r="D363" i="2"/>
  <c r="C363" i="2"/>
  <c r="D362" i="2"/>
  <c r="C362" i="2"/>
  <c r="D361" i="2"/>
  <c r="C361" i="2"/>
  <c r="D360" i="2"/>
  <c r="C360" i="2"/>
  <c r="D359" i="2"/>
  <c r="C359" i="2"/>
  <c r="D358" i="2"/>
  <c r="C358" i="2"/>
  <c r="D357" i="2"/>
  <c r="C357" i="2"/>
  <c r="D356" i="2"/>
  <c r="C356" i="2"/>
  <c r="D355" i="2"/>
  <c r="C355" i="2"/>
  <c r="D354" i="2"/>
  <c r="C354" i="2"/>
  <c r="D353" i="2"/>
  <c r="C353" i="2"/>
  <c r="D352" i="2"/>
  <c r="C352" i="2"/>
  <c r="D351" i="2"/>
  <c r="C351" i="2"/>
  <c r="D350" i="2"/>
  <c r="C350" i="2"/>
  <c r="D349" i="2"/>
  <c r="C349" i="2"/>
  <c r="D348" i="2"/>
  <c r="C348" i="2"/>
  <c r="D347" i="2"/>
  <c r="C347" i="2"/>
  <c r="D346" i="2"/>
  <c r="C346" i="2"/>
  <c r="D345" i="2"/>
  <c r="C345" i="2"/>
  <c r="D344" i="2"/>
  <c r="C344" i="2"/>
  <c r="D343" i="2"/>
  <c r="C343" i="2"/>
  <c r="D342" i="2"/>
  <c r="C342" i="2"/>
  <c r="D341" i="2"/>
  <c r="C341" i="2"/>
  <c r="D340" i="2"/>
  <c r="C340" i="2"/>
  <c r="D339" i="2"/>
  <c r="C339" i="2"/>
  <c r="D338" i="2"/>
  <c r="C338" i="2"/>
  <c r="D337" i="2"/>
  <c r="C337" i="2"/>
  <c r="D336" i="2"/>
  <c r="C336" i="2"/>
  <c r="D335" i="2"/>
  <c r="C335" i="2"/>
  <c r="D334" i="2"/>
  <c r="C334" i="2"/>
  <c r="D333" i="2"/>
  <c r="C333" i="2"/>
  <c r="D332" i="2"/>
  <c r="C332" i="2"/>
  <c r="D331" i="2"/>
  <c r="C331" i="2"/>
  <c r="D330" i="2"/>
  <c r="C330" i="2"/>
  <c r="D329" i="2"/>
  <c r="C329" i="2"/>
  <c r="D328" i="2"/>
  <c r="C328" i="2"/>
  <c r="D327" i="2"/>
  <c r="C327" i="2"/>
  <c r="D326" i="2"/>
  <c r="C326" i="2"/>
  <c r="D325" i="2"/>
  <c r="C325" i="2"/>
  <c r="D324" i="2"/>
  <c r="C324" i="2"/>
  <c r="D323" i="2"/>
  <c r="C323" i="2"/>
  <c r="D322" i="2"/>
  <c r="C322" i="2"/>
  <c r="D321" i="2"/>
  <c r="C321" i="2"/>
  <c r="D320" i="2"/>
  <c r="C320" i="2"/>
  <c r="D319" i="2"/>
  <c r="C319" i="2"/>
  <c r="D318" i="2"/>
  <c r="C318" i="2"/>
  <c r="D317" i="2"/>
  <c r="C317" i="2"/>
  <c r="D316" i="2"/>
  <c r="C316" i="2"/>
  <c r="D315" i="2"/>
  <c r="C315" i="2"/>
  <c r="D314" i="2"/>
  <c r="C314" i="2"/>
  <c r="D313" i="2"/>
  <c r="C313" i="2"/>
  <c r="D312" i="2"/>
  <c r="C312" i="2"/>
  <c r="D311" i="2"/>
  <c r="C311" i="2"/>
  <c r="D310" i="2"/>
  <c r="C310" i="2"/>
  <c r="D309" i="2"/>
  <c r="C309" i="2"/>
  <c r="D308" i="2"/>
  <c r="C308" i="2"/>
  <c r="D307" i="2"/>
  <c r="C307" i="2"/>
  <c r="D306" i="2"/>
  <c r="C306" i="2"/>
  <c r="D305" i="2"/>
  <c r="C305" i="2"/>
  <c r="D304" i="2"/>
  <c r="C304" i="2"/>
  <c r="D303" i="2"/>
  <c r="C303" i="2"/>
  <c r="D302" i="2"/>
  <c r="C302" i="2"/>
  <c r="D301" i="2"/>
  <c r="C301" i="2"/>
  <c r="D300" i="2"/>
  <c r="C300" i="2"/>
  <c r="D299" i="2"/>
  <c r="C299" i="2"/>
  <c r="D298" i="2"/>
  <c r="C298" i="2"/>
  <c r="D297" i="2"/>
  <c r="C297" i="2"/>
  <c r="D296" i="2"/>
  <c r="C296" i="2"/>
  <c r="D295" i="2"/>
  <c r="C295" i="2"/>
  <c r="D294" i="2"/>
  <c r="C294" i="2"/>
  <c r="D293" i="2"/>
  <c r="C293" i="2"/>
  <c r="D292" i="2"/>
  <c r="C292" i="2"/>
  <c r="D291" i="2"/>
  <c r="C291" i="2"/>
  <c r="D290" i="2"/>
  <c r="C290" i="2"/>
  <c r="D289" i="2"/>
  <c r="C289" i="2"/>
  <c r="D288" i="2"/>
  <c r="C288" i="2"/>
  <c r="D287" i="2"/>
  <c r="C287" i="2"/>
  <c r="D286" i="2"/>
  <c r="C286" i="2"/>
  <c r="D285" i="2"/>
  <c r="C285" i="2"/>
  <c r="D284" i="2"/>
  <c r="C284" i="2"/>
  <c r="D283" i="2"/>
  <c r="C283" i="2"/>
  <c r="D282" i="2"/>
  <c r="C282" i="2"/>
  <c r="D281" i="2"/>
  <c r="C281" i="2"/>
  <c r="D280" i="2"/>
  <c r="C280" i="2"/>
  <c r="D279" i="2"/>
  <c r="C279" i="2"/>
  <c r="D278" i="2"/>
  <c r="C278" i="2"/>
  <c r="D277" i="2"/>
  <c r="C277" i="2"/>
  <c r="D276" i="2"/>
  <c r="C276" i="2"/>
  <c r="D275" i="2"/>
  <c r="C275" i="2"/>
  <c r="D274" i="2"/>
  <c r="C274" i="2"/>
  <c r="D273" i="2"/>
  <c r="C273" i="2"/>
  <c r="D272" i="2"/>
  <c r="C272" i="2"/>
  <c r="D271" i="2"/>
  <c r="C271" i="2"/>
  <c r="D270" i="2"/>
  <c r="C270" i="2"/>
  <c r="D269" i="2"/>
  <c r="C269" i="2"/>
  <c r="D268" i="2"/>
  <c r="C268" i="2"/>
  <c r="D267" i="2"/>
  <c r="C267" i="2"/>
  <c r="D266" i="2"/>
  <c r="C266" i="2"/>
  <c r="D265" i="2"/>
  <c r="C265" i="2"/>
  <c r="D264" i="2"/>
  <c r="C264" i="2"/>
  <c r="D263" i="2"/>
  <c r="C263" i="2"/>
  <c r="D262" i="2"/>
  <c r="C262" i="2"/>
  <c r="D261" i="2"/>
  <c r="C261" i="2"/>
  <c r="D260" i="2"/>
  <c r="C260" i="2"/>
  <c r="D259" i="2"/>
  <c r="C259" i="2"/>
  <c r="D258" i="2"/>
  <c r="C258" i="2"/>
  <c r="D257" i="2"/>
  <c r="C257" i="2"/>
  <c r="D256" i="2"/>
  <c r="C256" i="2"/>
  <c r="D255" i="2"/>
  <c r="C255" i="2"/>
  <c r="D254" i="2"/>
  <c r="C254" i="2"/>
  <c r="D253" i="2"/>
  <c r="C253" i="2"/>
  <c r="D252" i="2"/>
  <c r="C252" i="2"/>
  <c r="D251" i="2"/>
  <c r="C251" i="2"/>
  <c r="D250" i="2"/>
  <c r="C250" i="2"/>
  <c r="D249" i="2"/>
  <c r="C249" i="2"/>
  <c r="D248" i="2"/>
  <c r="C248" i="2"/>
  <c r="D247" i="2"/>
  <c r="C247" i="2"/>
  <c r="D246" i="2"/>
  <c r="C246" i="2"/>
  <c r="D245" i="2"/>
  <c r="C245" i="2"/>
  <c r="D244" i="2"/>
  <c r="C244" i="2"/>
  <c r="D243" i="2"/>
  <c r="C243" i="2"/>
  <c r="D242" i="2"/>
  <c r="C242" i="2"/>
  <c r="D241" i="2"/>
  <c r="C241" i="2"/>
  <c r="D240" i="2"/>
  <c r="C240" i="2"/>
  <c r="D239" i="2"/>
  <c r="C239" i="2"/>
  <c r="D238" i="2"/>
  <c r="C238" i="2"/>
  <c r="D237" i="2"/>
  <c r="C237" i="2"/>
  <c r="D236" i="2"/>
  <c r="C236" i="2"/>
  <c r="D235" i="2"/>
  <c r="C235" i="2"/>
  <c r="D234" i="2"/>
  <c r="C234" i="2"/>
  <c r="D233" i="2"/>
  <c r="C233" i="2"/>
  <c r="D232" i="2"/>
  <c r="C232" i="2"/>
  <c r="D231" i="2"/>
  <c r="C231" i="2"/>
  <c r="D230" i="2"/>
  <c r="C230" i="2"/>
  <c r="D229" i="2"/>
  <c r="C229" i="2"/>
  <c r="D228" i="2"/>
  <c r="C228" i="2"/>
  <c r="D227" i="2"/>
  <c r="C227" i="2"/>
  <c r="D226" i="2"/>
  <c r="C226" i="2"/>
  <c r="D225" i="2"/>
  <c r="C225" i="2"/>
  <c r="D224" i="2"/>
  <c r="C224" i="2"/>
  <c r="D223" i="2"/>
  <c r="C223" i="2"/>
  <c r="D222" i="2"/>
  <c r="C222" i="2"/>
  <c r="D221" i="2"/>
  <c r="C221" i="2"/>
  <c r="D220" i="2"/>
  <c r="C220" i="2"/>
  <c r="D219" i="2"/>
  <c r="C219" i="2"/>
  <c r="D218" i="2"/>
  <c r="C218" i="2"/>
  <c r="D217" i="2"/>
  <c r="C217" i="2"/>
  <c r="D216" i="2"/>
  <c r="C216" i="2"/>
  <c r="D215" i="2"/>
  <c r="C215" i="2"/>
  <c r="D214" i="2"/>
  <c r="C214" i="2"/>
  <c r="D213" i="2"/>
  <c r="C213" i="2"/>
  <c r="D212" i="2"/>
  <c r="C212" i="2"/>
  <c r="D211" i="2"/>
  <c r="C211" i="2"/>
  <c r="D210" i="2"/>
  <c r="C210" i="2"/>
  <c r="D209" i="2"/>
  <c r="C209" i="2"/>
  <c r="D208" i="2"/>
  <c r="C208" i="2"/>
  <c r="D207" i="2"/>
  <c r="C207" i="2"/>
  <c r="D206" i="2"/>
  <c r="C206" i="2"/>
  <c r="D205" i="2"/>
  <c r="C205" i="2"/>
  <c r="D204" i="2"/>
  <c r="C204" i="2"/>
  <c r="D203" i="2"/>
  <c r="C203" i="2"/>
  <c r="D202" i="2"/>
  <c r="C202" i="2"/>
  <c r="D201" i="2"/>
  <c r="C201" i="2"/>
  <c r="D200" i="2"/>
  <c r="C200" i="2"/>
  <c r="D199" i="2"/>
  <c r="C199" i="2"/>
  <c r="D198" i="2"/>
  <c r="C198" i="2"/>
  <c r="D197" i="2"/>
  <c r="C197" i="2"/>
  <c r="D196" i="2"/>
  <c r="C196" i="2"/>
  <c r="D195" i="2"/>
  <c r="C195" i="2"/>
  <c r="D194" i="2"/>
  <c r="C194" i="2"/>
  <c r="D193" i="2"/>
  <c r="C193" i="2"/>
  <c r="D192" i="2"/>
  <c r="C192" i="2"/>
  <c r="D191" i="2"/>
  <c r="C191" i="2"/>
  <c r="D190" i="2"/>
  <c r="C190" i="2"/>
  <c r="D189" i="2"/>
  <c r="C189" i="2"/>
  <c r="D188" i="2"/>
  <c r="C188" i="2"/>
  <c r="D187" i="2"/>
  <c r="C187" i="2"/>
  <c r="D186" i="2"/>
  <c r="C186" i="2"/>
  <c r="D185" i="2"/>
  <c r="C185" i="2"/>
  <c r="D184" i="2"/>
  <c r="C184" i="2"/>
  <c r="D183" i="2"/>
  <c r="C183" i="2"/>
  <c r="D182" i="2"/>
  <c r="C182" i="2"/>
  <c r="D181" i="2"/>
  <c r="C181" i="2"/>
  <c r="D180" i="2"/>
  <c r="C180" i="2"/>
  <c r="D179" i="2"/>
  <c r="C179" i="2"/>
  <c r="D178" i="2"/>
  <c r="C178" i="2"/>
  <c r="D177" i="2"/>
  <c r="D176" i="2"/>
  <c r="C176" i="2"/>
  <c r="D175" i="2"/>
  <c r="C175" i="2"/>
  <c r="D174" i="2"/>
  <c r="C174" i="2"/>
  <c r="D173" i="2"/>
  <c r="C173" i="2"/>
  <c r="D172" i="2"/>
  <c r="C172" i="2"/>
  <c r="D171" i="2"/>
  <c r="C171" i="2"/>
  <c r="D170" i="2"/>
  <c r="C170" i="2"/>
  <c r="D169" i="2"/>
  <c r="C169" i="2"/>
  <c r="D168" i="2"/>
  <c r="C168" i="2"/>
  <c r="D167" i="2"/>
  <c r="C167" i="2"/>
  <c r="D166" i="2"/>
  <c r="C166" i="2"/>
  <c r="D165" i="2"/>
  <c r="C165" i="2"/>
  <c r="D164" i="2"/>
  <c r="C164" i="2"/>
  <c r="D163" i="2"/>
  <c r="C163" i="2"/>
  <c r="D162" i="2"/>
  <c r="C162" i="2"/>
  <c r="D161" i="2"/>
  <c r="C161" i="2"/>
  <c r="D160" i="2"/>
  <c r="C160" i="2"/>
  <c r="D159" i="2"/>
  <c r="C159" i="2"/>
  <c r="D158" i="2"/>
  <c r="C158" i="2"/>
  <c r="D157" i="2"/>
  <c r="C157" i="2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D74" i="2"/>
  <c r="C74" i="2"/>
  <c r="D73" i="2"/>
  <c r="C73" i="2"/>
  <c r="D72" i="2"/>
  <c r="C72" i="2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C7" i="2"/>
  <c r="D6" i="2"/>
  <c r="C6" i="2"/>
  <c r="D5" i="2"/>
  <c r="C5" i="2"/>
  <c r="D4" i="2"/>
  <c r="C4" i="2"/>
  <c r="D3" i="2"/>
  <c r="C3" i="2"/>
  <c r="D2" i="2"/>
  <c r="C2" i="2"/>
</calcChain>
</file>

<file path=xl/sharedStrings.xml><?xml version="1.0" encoding="utf-8"?>
<sst xmlns="http://schemas.openxmlformats.org/spreadsheetml/2006/main" count="3123" uniqueCount="1261">
  <si>
    <t>酒款ID</t>
  </si>
  <si>
    <t>銘柄</t>
  </si>
  <si>
    <t>酒款</t>
  </si>
  <si>
    <t>酒造</t>
  </si>
  <si>
    <t>地區</t>
  </si>
  <si>
    <t>酒種</t>
  </si>
  <si>
    <t>酒米</t>
  </si>
  <si>
    <t>精米步合</t>
  </si>
  <si>
    <t>酒造年度</t>
  </si>
  <si>
    <t>備註</t>
  </si>
  <si>
    <t>S0001</t>
  </si>
  <si>
    <t>十四代</t>
  </si>
  <si>
    <t>大極上諸白 龍落之子</t>
  </si>
  <si>
    <t>高木酒造</t>
  </si>
  <si>
    <t>山形</t>
  </si>
  <si>
    <t>純米大吟釀</t>
  </si>
  <si>
    <t>龍落之子</t>
  </si>
  <si>
    <t>S0002</t>
  </si>
  <si>
    <t>中取 純米無濾過</t>
  </si>
  <si>
    <t>純米吟釀</t>
  </si>
  <si>
    <t>山田錦</t>
  </si>
  <si>
    <t>S0003</t>
  </si>
  <si>
    <t>荒走り上諸白 純米大吟釀 生酒</t>
  </si>
  <si>
    <t>兵庫縣特A山田錦</t>
  </si>
  <si>
    <t>S0004</t>
  </si>
  <si>
    <t>雪女神 EXTRA</t>
  </si>
  <si>
    <t>雪女神</t>
  </si>
  <si>
    <t>S0005</t>
  </si>
  <si>
    <t>2026 萬虹</t>
  </si>
  <si>
    <t>S0006</t>
  </si>
  <si>
    <t>亞麻貓</t>
  </si>
  <si>
    <t>新政酒造</t>
  </si>
  <si>
    <t>秋田</t>
  </si>
  <si>
    <t>純米酒</t>
  </si>
  <si>
    <t>秋田酒小町（あきた酒こまち）</t>
  </si>
  <si>
    <t>S0007</t>
  </si>
  <si>
    <t>No.6</t>
  </si>
  <si>
    <t>No.6 S-type Direct Path</t>
  </si>
  <si>
    <t>S0008</t>
  </si>
  <si>
    <t>colors</t>
  </si>
  <si>
    <t>Ecru colors</t>
  </si>
  <si>
    <t>S0009</t>
  </si>
  <si>
    <t>A-Type 2026</t>
  </si>
  <si>
    <t>S0010</t>
  </si>
  <si>
    <t>醉鯨</t>
  </si>
  <si>
    <t>純米吟醸 吟麗 秋あがり</t>
  </si>
  <si>
    <t>醉鯨酒造</t>
  </si>
  <si>
    <t>高知</t>
  </si>
  <si>
    <t>吟風</t>
  </si>
  <si>
    <t>S0011</t>
  </si>
  <si>
    <t>吟麗 SUMMER</t>
  </si>
  <si>
    <t>S0012</t>
  </si>
  <si>
    <t>マル飛</t>
  </si>
  <si>
    <t>マルヒのマルヒ 生酒</t>
  </si>
  <si>
    <t>飛良泉本舖</t>
  </si>
  <si>
    <t>S0013</t>
  </si>
  <si>
    <t>飛囀</t>
  </si>
  <si>
    <t>HITEN 鵠</t>
  </si>
  <si>
    <t>S0014</t>
  </si>
  <si>
    <t>山廢 限定生酒</t>
  </si>
  <si>
    <t>S0015</t>
  </si>
  <si>
    <t>釀人九平次</t>
  </si>
  <si>
    <t>別設 不変と流転</t>
  </si>
  <si>
    <t>萬乘釀造</t>
  </si>
  <si>
    <t>愛知</t>
  </si>
  <si>
    <t>S0016</t>
  </si>
  <si>
    <t>三諸杉</t>
  </si>
  <si>
    <t>木桶菩提酛 自社田山田錦</t>
  </si>
  <si>
    <t>今西酒造</t>
  </si>
  <si>
    <t>奈良</t>
  </si>
  <si>
    <t>S0017</t>
  </si>
  <si>
    <t>而今</t>
  </si>
  <si>
    <t>雄町火入</t>
  </si>
  <si>
    <t>木屋正酒造</t>
  </si>
  <si>
    <t>三重</t>
  </si>
  <si>
    <t>雄町</t>
  </si>
  <si>
    <t>S0018</t>
  </si>
  <si>
    <t>彌榮鶴</t>
  </si>
  <si>
    <t>陰翳in ei</t>
  </si>
  <si>
    <t>竹野酒造</t>
  </si>
  <si>
    <t>京都</t>
  </si>
  <si>
    <t>S0019</t>
  </si>
  <si>
    <t>綠川</t>
  </si>
  <si>
    <t>Cask Collection</t>
  </si>
  <si>
    <t>綠川酒造</t>
  </si>
  <si>
    <t>新潟</t>
  </si>
  <si>
    <t>S0020</t>
  </si>
  <si>
    <t>電照菊</t>
  </si>
  <si>
    <t>山田錦50 純米大吟釀 無濾過生原酒</t>
  </si>
  <si>
    <t>寒菊銘釀</t>
  </si>
  <si>
    <t>千葉</t>
  </si>
  <si>
    <t>S0021</t>
  </si>
  <si>
    <t>AKABU</t>
  </si>
  <si>
    <t>AKABU×UNITED ARROWS 別注純米大吟醸 2025</t>
  </si>
  <si>
    <t>赤武酒造</t>
  </si>
  <si>
    <t>岩手</t>
  </si>
  <si>
    <t>S0022</t>
  </si>
  <si>
    <t>SEA 純米</t>
  </si>
  <si>
    <t>吟銀河（吟ぎんが）</t>
  </si>
  <si>
    <t>S0023</t>
  </si>
  <si>
    <t>AIR 純米</t>
  </si>
  <si>
    <t>S0024</t>
  </si>
  <si>
    <t>MOUNTAIN 純米</t>
  </si>
  <si>
    <t>S0025</t>
  </si>
  <si>
    <t>S0026</t>
  </si>
  <si>
    <t>高砂 松喰鶴</t>
  </si>
  <si>
    <t>純米大吟醸 木桶きもと 火入れ</t>
  </si>
  <si>
    <t>S0027</t>
  </si>
  <si>
    <t>PHILIA</t>
  </si>
  <si>
    <t>S0028</t>
  </si>
  <si>
    <t xml:space="preserve">松の司 </t>
  </si>
  <si>
    <t>大吟醸 Ultimus</t>
  </si>
  <si>
    <t>松瀨酒造</t>
  </si>
  <si>
    <t>滋賀</t>
  </si>
  <si>
    <t>大吟釀</t>
  </si>
  <si>
    <t>S0029</t>
  </si>
  <si>
    <t>日日</t>
  </si>
  <si>
    <t>秋津山田錦 自社田</t>
  </si>
  <si>
    <t>日日釀造</t>
  </si>
  <si>
    <t>S0030</t>
  </si>
  <si>
    <t>権化</t>
  </si>
  <si>
    <t>土の密℃ 無濾過生原酒</t>
  </si>
  <si>
    <t>とおの屋 要</t>
  </si>
  <si>
    <t>其他釀造酒</t>
  </si>
  <si>
    <t>遠野1號</t>
  </si>
  <si>
    <t>S0031</t>
  </si>
  <si>
    <t>產土</t>
  </si>
  <si>
    <t>神宴 改良信交 一農</t>
  </si>
  <si>
    <t>花之香酒造</t>
  </si>
  <si>
    <t>熊本</t>
  </si>
  <si>
    <t>改良信交</t>
  </si>
  <si>
    <t>S0032</t>
  </si>
  <si>
    <t>神宴 改良信交 二農</t>
  </si>
  <si>
    <t>S0033</t>
  </si>
  <si>
    <t>山田錦 二農釀生酒</t>
  </si>
  <si>
    <t>S0034</t>
  </si>
  <si>
    <t>穗增 四農釀生酒</t>
  </si>
  <si>
    <t>穗增</t>
  </si>
  <si>
    <t>S0035</t>
  </si>
  <si>
    <t>穗增 四農 別誂 酛稻架掛</t>
  </si>
  <si>
    <t>S0036</t>
  </si>
  <si>
    <t>香子 四農釀生酒</t>
  </si>
  <si>
    <t>香子</t>
  </si>
  <si>
    <t>S0037</t>
  </si>
  <si>
    <t>穗增 五農釀生酒</t>
  </si>
  <si>
    <t>S0038</t>
  </si>
  <si>
    <t>穗增 六農釀生酒</t>
  </si>
  <si>
    <t>S0039</t>
  </si>
  <si>
    <t>香子 六農釀生酒</t>
  </si>
  <si>
    <t>S0040</t>
  </si>
  <si>
    <t>香子 七農釀生酒</t>
  </si>
  <si>
    <t>S0041</t>
  </si>
  <si>
    <t>鍋島</t>
  </si>
  <si>
    <r>
      <t xml:space="preserve">Classic </t>
    </r>
    <r>
      <rPr>
        <sz val="11"/>
        <rFont val="微軟正黑體"/>
        <family val="2"/>
      </rPr>
      <t>純米大吟醸</t>
    </r>
    <r>
      <rPr>
        <sz val="11"/>
        <rFont val="Arial"/>
        <family val="2"/>
      </rPr>
      <t xml:space="preserve"> </t>
    </r>
    <r>
      <rPr>
        <sz val="11"/>
        <rFont val="微軟正黑體"/>
        <family val="2"/>
      </rPr>
      <t>赤磐雄町米</t>
    </r>
  </si>
  <si>
    <t>富久千代酒造</t>
  </si>
  <si>
    <t>佐賀</t>
  </si>
  <si>
    <t>S0042</t>
  </si>
  <si>
    <t>玉榮</t>
  </si>
  <si>
    <t>S0043</t>
  </si>
  <si>
    <t>白鶴錦</t>
  </si>
  <si>
    <t>S0044</t>
  </si>
  <si>
    <t>神渡</t>
  </si>
  <si>
    <t>純米新酒 無慮過生原酒</t>
  </si>
  <si>
    <t>株式会社豊島屋</t>
  </si>
  <si>
    <t>長野</t>
  </si>
  <si>
    <t>人心地（ひとごこち）</t>
  </si>
  <si>
    <t>S0045</t>
  </si>
  <si>
    <t>楯野川</t>
  </si>
  <si>
    <t>本流辛口</t>
  </si>
  <si>
    <t>楯野川酒造</t>
  </si>
  <si>
    <t>出羽燦燦</t>
  </si>
  <si>
    <t>S0046</t>
  </si>
  <si>
    <t>榮光富士</t>
  </si>
  <si>
    <t>酒未來</t>
  </si>
  <si>
    <t>富士酒造</t>
  </si>
  <si>
    <t>S0047</t>
  </si>
  <si>
    <t>紀土</t>
  </si>
  <si>
    <t>平和酒造</t>
  </si>
  <si>
    <t>和歌山</t>
  </si>
  <si>
    <t>山田錦／五百萬石（麴米）；一般米（掛米）</t>
  </si>
  <si>
    <t>S0048</t>
  </si>
  <si>
    <t>九頭龍</t>
  </si>
  <si>
    <t>逸品</t>
  </si>
  <si>
    <t>黑龍酒造</t>
  </si>
  <si>
    <t>福井</t>
  </si>
  <si>
    <t>普通酒</t>
  </si>
  <si>
    <t>五百萬石</t>
  </si>
  <si>
    <t>S0049</t>
  </si>
  <si>
    <t>冰涼酒</t>
  </si>
  <si>
    <t>S0050</t>
  </si>
  <si>
    <t>義俠</t>
  </si>
  <si>
    <t>五百萬石 生原酒</t>
  </si>
  <si>
    <t>山忠本家酒造</t>
  </si>
  <si>
    <t>S0051</t>
  </si>
  <si>
    <t>雨後之月</t>
  </si>
  <si>
    <t>新月</t>
  </si>
  <si>
    <t>相原酒造</t>
  </si>
  <si>
    <t>廣島</t>
  </si>
  <si>
    <t>本釀造</t>
  </si>
  <si>
    <t>八反錦</t>
  </si>
  <si>
    <t>S0052</t>
  </si>
  <si>
    <t>陸奧八仙</t>
  </si>
  <si>
    <t>芳醇超辛生酒</t>
  </si>
  <si>
    <t>八戶酒造</t>
  </si>
  <si>
    <t>青森</t>
  </si>
  <si>
    <t>S0053</t>
  </si>
  <si>
    <t>一滴入魂</t>
  </si>
  <si>
    <t>賀茂鶴酒造</t>
  </si>
  <si>
    <t>S0054</t>
  </si>
  <si>
    <t>賀茂鶴</t>
  </si>
  <si>
    <t>上等酒 本釀造</t>
  </si>
  <si>
    <t>S0055</t>
  </si>
  <si>
    <t>風流 純米大吟釀</t>
  </si>
  <si>
    <t>美山錦</t>
  </si>
  <si>
    <t>S0056</t>
  </si>
  <si>
    <t>真澄</t>
  </si>
  <si>
    <t>辛口金標</t>
  </si>
  <si>
    <t>宮坂釀造</t>
  </si>
  <si>
    <t>美山錦／食用米（品種未公開）</t>
  </si>
  <si>
    <t>S0057</t>
  </si>
  <si>
    <t>二兔</t>
  </si>
  <si>
    <t>2026干支午年 純米吟釀</t>
  </si>
  <si>
    <t>丸石釀造</t>
  </si>
  <si>
    <t>萬歲／山田錦</t>
  </si>
  <si>
    <t>S0058</t>
  </si>
  <si>
    <t>くどき上手</t>
  </si>
  <si>
    <t>白ばくれん 超辛口吟釀</t>
  </si>
  <si>
    <t>龜之井酒造</t>
  </si>
  <si>
    <t>吟釀</t>
  </si>
  <si>
    <t>山田穗</t>
  </si>
  <si>
    <t>S0059</t>
  </si>
  <si>
    <t>Jr. Juicy辛口。改 純米大吟釀 生詰</t>
  </si>
  <si>
    <t>S0060</t>
  </si>
  <si>
    <t>山形正宗</t>
  </si>
  <si>
    <t>愛山 純米吟釀</t>
  </si>
  <si>
    <t>水戶部酒造</t>
  </si>
  <si>
    <t>愛山</t>
  </si>
  <si>
    <t>S0061</t>
  </si>
  <si>
    <t>鄉寶</t>
  </si>
  <si>
    <t>純米大吟釀 壱火 三割五分</t>
  </si>
  <si>
    <t>箱館釀藏</t>
  </si>
  <si>
    <t>北海道</t>
  </si>
  <si>
    <t>彗星</t>
  </si>
  <si>
    <t>S0062</t>
  </si>
  <si>
    <t>一之蔵</t>
  </si>
  <si>
    <t>特別純米酒 ひやおろし</t>
  </si>
  <si>
    <t>一之藏株式會社</t>
  </si>
  <si>
    <t>宮城</t>
  </si>
  <si>
    <t>特別純米酒</t>
  </si>
  <si>
    <t>藏之華（蔵の華）</t>
  </si>
  <si>
    <t>S0063</t>
  </si>
  <si>
    <t>甍</t>
  </si>
  <si>
    <t>銀藍 金紋錦 無濾過生原酒</t>
  </si>
  <si>
    <t>甍酒藏株式會社</t>
  </si>
  <si>
    <t>金紋錦</t>
  </si>
  <si>
    <t>S0064</t>
  </si>
  <si>
    <t>銀藍 人心地 無濾過生原酒</t>
  </si>
  <si>
    <t>S0065</t>
  </si>
  <si>
    <t>銀曉 生酛釀造 無濾過原酒</t>
  </si>
  <si>
    <t>S0066</t>
  </si>
  <si>
    <t>銀黑 人心地 無濾過生原酒</t>
  </si>
  <si>
    <t>S0067</t>
  </si>
  <si>
    <t>銀紅 長野D 人心地 無濾過原酒 火入</t>
  </si>
  <si>
    <t>S0068</t>
  </si>
  <si>
    <t>銀紅 長野D 金紋錦 無濾過原酒 火入</t>
  </si>
  <si>
    <t>S0069</t>
  </si>
  <si>
    <t>金鉾 荒走</t>
  </si>
  <si>
    <t>S0070</t>
  </si>
  <si>
    <t>文佳人</t>
  </si>
  <si>
    <t>有澤酒造</t>
  </si>
  <si>
    <t>アケボノ</t>
  </si>
  <si>
    <t>S0071</t>
  </si>
  <si>
    <t>武の井</t>
  </si>
  <si>
    <t>STARGAZER 純米吟醸 生原酒</t>
  </si>
  <si>
    <t>武之井酒造</t>
  </si>
  <si>
    <t>山梨</t>
  </si>
  <si>
    <t>S0072</t>
  </si>
  <si>
    <t>吾有事</t>
  </si>
  <si>
    <t>尖銳辛口 純米大吟釀</t>
  </si>
  <si>
    <t>奧羽自慢株式會社</t>
  </si>
  <si>
    <t>S0073</t>
  </si>
  <si>
    <t>NEW KYOTO.JP</t>
  </si>
  <si>
    <t>白綠</t>
  </si>
  <si>
    <t>松本酒造</t>
  </si>
  <si>
    <t>朝日</t>
  </si>
  <si>
    <t>S0074</t>
  </si>
  <si>
    <t>常山</t>
  </si>
  <si>
    <t>純米大吟醸 荒磯 ARAISO 直汲生</t>
  </si>
  <si>
    <t>常山酒造</t>
  </si>
  <si>
    <t>S0075</t>
  </si>
  <si>
    <t>玄達 〜GENTATSU〜 純米吟釀</t>
  </si>
  <si>
    <t>S0076</t>
  </si>
  <si>
    <t>雪之茅舍</t>
  </si>
  <si>
    <t>秘傳山廢 純米吟釀</t>
  </si>
  <si>
    <t>齋彌酒造店</t>
  </si>
  <si>
    <t>山田錦／秋田酒小町（あきた酒こまち）</t>
  </si>
  <si>
    <t>S0077</t>
  </si>
  <si>
    <t>黃金澤</t>
  </si>
  <si>
    <t>純米吟釀 雄町</t>
  </si>
  <si>
    <t>川敬商店</t>
  </si>
  <si>
    <t>S0078</t>
  </si>
  <si>
    <t>彗</t>
  </si>
  <si>
    <t>SINGER BREWSTER 純米雄町</t>
  </si>
  <si>
    <t>遠藤酒造場</t>
  </si>
  <si>
    <t>S0079</t>
  </si>
  <si>
    <t>日高見</t>
  </si>
  <si>
    <t>初しぼりかすみ酒 ⽣酒</t>
  </si>
  <si>
    <t>平高清酒釀酒廠</t>
  </si>
  <si>
    <t>S0080</t>
  </si>
  <si>
    <t>會津中將</t>
  </si>
  <si>
    <t>純米吟釀 會津產山田錦</t>
  </si>
  <si>
    <t>鶴乃江酒造</t>
  </si>
  <si>
    <t>會津</t>
  </si>
  <si>
    <t>S0081</t>
  </si>
  <si>
    <t>農口尚彥研究所</t>
  </si>
  <si>
    <t>山廢 五百萬石 無濾過生原酒</t>
  </si>
  <si>
    <t>農口尚彦研究所</t>
  </si>
  <si>
    <t>石川</t>
  </si>
  <si>
    <t>S0082</t>
  </si>
  <si>
    <t>2026夏之生酒 無濾過生原酒</t>
  </si>
  <si>
    <t>S0083</t>
  </si>
  <si>
    <t>ワカエビスプラス</t>
  </si>
  <si>
    <t>008 純米吟醸</t>
  </si>
  <si>
    <t>若戎酒造</t>
  </si>
  <si>
    <t>神之穗（神の穂）／山田錦</t>
  </si>
  <si>
    <t>S0084</t>
  </si>
  <si>
    <t>純米吟釀 生霞酒 橫山式</t>
  </si>
  <si>
    <t>S0085</t>
  </si>
  <si>
    <t>手取川</t>
  </si>
  <si>
    <t>純米 初榨生原酒 (限定)</t>
  </si>
  <si>
    <t>株式会社吉田酒造店</t>
  </si>
  <si>
    <t>S0086</t>
  </si>
  <si>
    <t>田光</t>
  </si>
  <si>
    <t>純米吟釀 Malic acid</t>
  </si>
  <si>
    <t>早川酒造</t>
  </si>
  <si>
    <t>S0087</t>
  </si>
  <si>
    <t>風之森</t>
  </si>
  <si>
    <t>未來預想酒Ⅲ 時之重疊三重奏</t>
  </si>
  <si>
    <t>油長酒造</t>
  </si>
  <si>
    <t>露葉風</t>
  </si>
  <si>
    <t>S0088</t>
  </si>
  <si>
    <t>Challenge Edition 2026 真中採 無濾過生原酒</t>
  </si>
  <si>
    <t>ヒノヒカリ</t>
  </si>
  <si>
    <t>S0089</t>
  </si>
  <si>
    <t>純米 愛山807</t>
  </si>
  <si>
    <t>S0090</t>
  </si>
  <si>
    <t>信州龜齡</t>
  </si>
  <si>
    <t>Green Label</t>
  </si>
  <si>
    <t>岡崎酒造</t>
  </si>
  <si>
    <t>S0091</t>
  </si>
  <si>
    <t>蔵元限定 ひとごこち</t>
  </si>
  <si>
    <t>S0092</t>
  </si>
  <si>
    <t>銀龜 美山錦 純米大吟釀</t>
  </si>
  <si>
    <t>S0093</t>
  </si>
  <si>
    <t>金龜 金紋錦 純米大吟釀 39</t>
  </si>
  <si>
    <t>S0094</t>
  </si>
  <si>
    <t>交酒 花風</t>
  </si>
  <si>
    <t>寵深花風</t>
  </si>
  <si>
    <t>稻與龍舌蘭</t>
  </si>
  <si>
    <t>S0095</t>
  </si>
  <si>
    <t>惠信</t>
  </si>
  <si>
    <t>越淡麗 無濾過直汲 荒走</t>
  </si>
  <si>
    <t>君之井酒造</t>
  </si>
  <si>
    <t>雪國妙高契作越淡麗</t>
  </si>
  <si>
    <t>S0096</t>
  </si>
  <si>
    <t>大倉</t>
  </si>
  <si>
    <t>山廢特別純米 愛山70 直汲み 無濾過生原酒</t>
  </si>
  <si>
    <t>大倉本家</t>
  </si>
  <si>
    <t>S0097</t>
  </si>
  <si>
    <t>繁桝</t>
  </si>
  <si>
    <t>中汲 純米大吟釀 生酒</t>
  </si>
  <si>
    <t>高橋商店</t>
  </si>
  <si>
    <t>福岡</t>
  </si>
  <si>
    <t>S0098</t>
  </si>
  <si>
    <t>雨降</t>
  </si>
  <si>
    <t>Ringosan 77</t>
  </si>
  <si>
    <t>吉川釀造</t>
  </si>
  <si>
    <t>神奈川</t>
  </si>
  <si>
    <t>S0099</t>
  </si>
  <si>
    <t>S0100</t>
  </si>
  <si>
    <t>MASA</t>
  </si>
  <si>
    <t>春陽</t>
  </si>
  <si>
    <t>S0101</t>
  </si>
  <si>
    <t>千歲鶴</t>
  </si>
  <si>
    <t>純米酒 吟風</t>
  </si>
  <si>
    <t>日本清酒株式会社</t>
  </si>
  <si>
    <t>S0102</t>
  </si>
  <si>
    <t>錦鯉</t>
  </si>
  <si>
    <t>丹頂 The RISING SUN</t>
  </si>
  <si>
    <t>今代司酒造</t>
  </si>
  <si>
    <t>越淡麗</t>
  </si>
  <si>
    <t>S0103</t>
  </si>
  <si>
    <t>磯自慢</t>
  </si>
  <si>
    <t>純米吟釀 桔梗</t>
  </si>
  <si>
    <t>磯自慢酒造</t>
  </si>
  <si>
    <t>靜岡</t>
  </si>
  <si>
    <t>S0104</t>
  </si>
  <si>
    <t>2023 大吟釀28 Nobilmente</t>
  </si>
  <si>
    <t>S0105</t>
  </si>
  <si>
    <t>寫樂</t>
  </si>
  <si>
    <t>純米吟釀 生霞酒</t>
  </si>
  <si>
    <t>宮泉銘釀</t>
  </si>
  <si>
    <t>福島</t>
  </si>
  <si>
    <t>S0106</t>
  </si>
  <si>
    <t>金雀</t>
  </si>
  <si>
    <t>純米吟釀 初榨</t>
  </si>
  <si>
    <t>堀江酒場</t>
  </si>
  <si>
    <t>山口</t>
  </si>
  <si>
    <t>S0107</t>
  </si>
  <si>
    <t>荷札酒</t>
  </si>
  <si>
    <t>純米大吟釀 for taiwan</t>
  </si>
  <si>
    <t>加茂錦酒造</t>
  </si>
  <si>
    <t>S0108</t>
  </si>
  <si>
    <t>短桿渡船 純米大吟釀</t>
  </si>
  <si>
    <t>短稈渡船</t>
  </si>
  <si>
    <t>S0109</t>
  </si>
  <si>
    <t>OCEAN99</t>
  </si>
  <si>
    <t>S0110</t>
  </si>
  <si>
    <t>S0111</t>
  </si>
  <si>
    <t>龍力</t>
  </si>
  <si>
    <t>特別純米 播州辛口 秋季限定</t>
  </si>
  <si>
    <t>本田商店</t>
  </si>
  <si>
    <t>兵庫</t>
  </si>
  <si>
    <t>S0112</t>
  </si>
  <si>
    <t>特別純米酒 山田錦 生原酒</t>
  </si>
  <si>
    <t>S0113</t>
  </si>
  <si>
    <t>田酒</t>
  </si>
  <si>
    <t>純米吟醸 生 うすにごり</t>
  </si>
  <si>
    <t>西田酒造店</t>
  </si>
  <si>
    <t>S0114</t>
  </si>
  <si>
    <t>望bo:</t>
  </si>
  <si>
    <t>純米吟釀新酒 無過濾生原酒 夢ささら</t>
  </si>
  <si>
    <t>外池酒造</t>
  </si>
  <si>
    <t>栃木</t>
  </si>
  <si>
    <t>夢ささら</t>
  </si>
  <si>
    <t>S0115</t>
  </si>
  <si>
    <t>京雛</t>
  </si>
  <si>
    <t>純米大吟釀 隱劍</t>
  </si>
  <si>
    <t>酒六酒造</t>
  </si>
  <si>
    <t>愛媛</t>
  </si>
  <si>
    <t>S0116</t>
  </si>
  <si>
    <t>白岳仙</t>
  </si>
  <si>
    <t>純米吟釀 搾立</t>
  </si>
  <si>
    <t>安本酒造</t>
  </si>
  <si>
    <t>S0117</t>
  </si>
  <si>
    <t>夏虫 純米吟釀</t>
  </si>
  <si>
    <t>S0118</t>
  </si>
  <si>
    <t>黑鐵 純米吟釀</t>
  </si>
  <si>
    <t>S0119</t>
  </si>
  <si>
    <t>真紅 純米吟釀</t>
  </si>
  <si>
    <t>S0120</t>
  </si>
  <si>
    <t>櫻鼠 純米吟釀</t>
  </si>
  <si>
    <t>吟之鄉（吟のさと）</t>
  </si>
  <si>
    <t>S0121</t>
  </si>
  <si>
    <t>極走 純米大吟釀生酒</t>
  </si>
  <si>
    <t>S0122</t>
  </si>
  <si>
    <t>玄宰</t>
  </si>
  <si>
    <t>末廣酒造</t>
  </si>
  <si>
    <t>S0123</t>
  </si>
  <si>
    <t>阿部 あべ</t>
  </si>
  <si>
    <t>Abe black</t>
  </si>
  <si>
    <t>阿部酒造</t>
  </si>
  <si>
    <t>S0124</t>
  </si>
  <si>
    <t>黑龍</t>
  </si>
  <si>
    <t>しずく</t>
  </si>
  <si>
    <t>S0125</t>
  </si>
  <si>
    <t>五橋</t>
  </si>
  <si>
    <t xml:space="preserve">2026年 立春朝榨 </t>
  </si>
  <si>
    <t>酒井酒造</t>
  </si>
  <si>
    <t>S0126</t>
  </si>
  <si>
    <t>大山</t>
  </si>
  <si>
    <t>2026年 立春朝榨</t>
  </si>
  <si>
    <t>加藤嘉八郎酒造</t>
  </si>
  <si>
    <t>S0127</t>
  </si>
  <si>
    <t>嘉美心</t>
  </si>
  <si>
    <t>嘉美心酒造</t>
  </si>
  <si>
    <t>岡山</t>
  </si>
  <si>
    <t>S0128</t>
  </si>
  <si>
    <t>一之藏</t>
  </si>
  <si>
    <t>S0129</t>
  </si>
  <si>
    <t>司牡丹</t>
  </si>
  <si>
    <t>司牡丹酒造</t>
  </si>
  <si>
    <t>S0130</t>
  </si>
  <si>
    <t>紫宙</t>
  </si>
  <si>
    <t>火焰</t>
  </si>
  <si>
    <t>紫波酒造</t>
  </si>
  <si>
    <t>ぎんおとめ</t>
  </si>
  <si>
    <t>S0131</t>
  </si>
  <si>
    <t>原始乃胎動 純米大吟釀 無濾過生原酒</t>
  </si>
  <si>
    <t>S0132</t>
  </si>
  <si>
    <t>IWA5</t>
  </si>
  <si>
    <t>Reserves</t>
  </si>
  <si>
    <t>白岩酒造 IWA</t>
  </si>
  <si>
    <t>富山</t>
  </si>
  <si>
    <t>S0133</t>
  </si>
  <si>
    <t>水端</t>
  </si>
  <si>
    <t>1569xEUREKA!</t>
  </si>
  <si>
    <t>秋津穗</t>
  </si>
  <si>
    <t>S0134</t>
  </si>
  <si>
    <t>X3</t>
  </si>
  <si>
    <t>Pink</t>
  </si>
  <si>
    <t>金紋秋田酒造</t>
  </si>
  <si>
    <t>S0135</t>
  </si>
  <si>
    <t>秀鳳</t>
  </si>
  <si>
    <t>2026 山形讚香 純米大吟釀</t>
  </si>
  <si>
    <t>秀鳳酒造</t>
  </si>
  <si>
    <t>S0136</t>
  </si>
  <si>
    <t>純米大吟釀 超辛口</t>
  </si>
  <si>
    <t>S0137</t>
  </si>
  <si>
    <t>出羽燦燦33</t>
  </si>
  <si>
    <t>S0138</t>
  </si>
  <si>
    <t>小布施</t>
  </si>
  <si>
    <t>100週年 1&amp;2號 酵母混合</t>
  </si>
  <si>
    <t>小布施酒莊</t>
  </si>
  <si>
    <t>S0139</t>
  </si>
  <si>
    <t>上川大雪</t>
  </si>
  <si>
    <t>純米大吟釀35 北雫(きたしずく)</t>
  </si>
  <si>
    <t>上川大雪酒造</t>
  </si>
  <si>
    <t>北雫</t>
  </si>
  <si>
    <t>S0140</t>
  </si>
  <si>
    <t>漆黑 KURO 純米吟釀</t>
  </si>
  <si>
    <t>S0141</t>
  </si>
  <si>
    <t>獺祭</t>
  </si>
  <si>
    <t>二割三分</t>
  </si>
  <si>
    <t>旭酒造</t>
  </si>
  <si>
    <t>S0142</t>
  </si>
  <si>
    <t>山川光男 2026 春</t>
  </si>
  <si>
    <t>S0143</t>
  </si>
  <si>
    <t>船中八策 純米超辛口</t>
  </si>
  <si>
    <t>S0144</t>
  </si>
  <si>
    <t>船中八策　槽搾り 黑</t>
  </si>
  <si>
    <t>S0145</t>
  </si>
  <si>
    <t>花邑</t>
  </si>
  <si>
    <t>陸羽田 純米酒</t>
  </si>
  <si>
    <t>兩關酒造</t>
  </si>
  <si>
    <t>陸羽田</t>
  </si>
  <si>
    <t>S0146</t>
  </si>
  <si>
    <t>酒未來 純米吟釀</t>
  </si>
  <si>
    <t>S0147</t>
  </si>
  <si>
    <t>秋田酒こまち 純米吟釀</t>
  </si>
  <si>
    <t>S0148</t>
  </si>
  <si>
    <t>Crystal Dragon</t>
  </si>
  <si>
    <t>S0149</t>
  </si>
  <si>
    <t>鳳凰美田</t>
  </si>
  <si>
    <t>黑鳳凰 純米吟釀</t>
  </si>
  <si>
    <t>小林酒造</t>
  </si>
  <si>
    <t>栃木縣</t>
  </si>
  <si>
    <t>S0150</t>
  </si>
  <si>
    <t>出羽櫻</t>
  </si>
  <si>
    <t>純米大吟釀 雪女神 四割八分 火入れ</t>
  </si>
  <si>
    <t>出羽櫻酒造</t>
  </si>
  <si>
    <t>S0151</t>
  </si>
  <si>
    <t>純米 雄町 生酛</t>
  </si>
  <si>
    <t>S0152</t>
  </si>
  <si>
    <t>末廣</t>
  </si>
  <si>
    <t>夢の香</t>
  </si>
  <si>
    <t>S0153</t>
  </si>
  <si>
    <t>吉田藏 u</t>
  </si>
  <si>
    <t>百万石乃白 山廢 純米酒</t>
  </si>
  <si>
    <t>百萬石乃白</t>
  </si>
  <si>
    <t>S0154</t>
  </si>
  <si>
    <t>巾着 純米吟釀</t>
  </si>
  <si>
    <t>巾著（巾着）</t>
  </si>
  <si>
    <t>S0155</t>
  </si>
  <si>
    <t>若駒</t>
  </si>
  <si>
    <t>愛山90 純米 無濾過生原酒</t>
  </si>
  <si>
    <t>若駒酒造</t>
  </si>
  <si>
    <t>枥木</t>
  </si>
  <si>
    <t>S0156</t>
  </si>
  <si>
    <t>仙禽</t>
  </si>
  <si>
    <t>鶴鳴 麗</t>
  </si>
  <si>
    <t>仙禽酒造</t>
  </si>
  <si>
    <t>S0157</t>
  </si>
  <si>
    <t>2026 夏日獨角仙 KABUTOMUSHI 純米大吟釀</t>
  </si>
  <si>
    <t>S0158</t>
  </si>
  <si>
    <t>RETRO 零式 生酒</t>
  </si>
  <si>
    <t>雄町／山田錦</t>
  </si>
  <si>
    <t>S0159</t>
  </si>
  <si>
    <t>Nature</t>
  </si>
  <si>
    <t>龜之尾</t>
  </si>
  <si>
    <t>S0160</t>
  </si>
  <si>
    <t>駒泉</t>
  </si>
  <si>
    <t>うまうまシリーズ 八甲田牛 吟醸原酒</t>
  </si>
  <si>
    <t>盛田莊兵衛酒造</t>
  </si>
  <si>
    <t>S0161</t>
  </si>
  <si>
    <t>王祿</t>
  </si>
  <si>
    <t>「溪」2024 ★</t>
  </si>
  <si>
    <t>王祿酒造</t>
  </si>
  <si>
    <t>島根</t>
  </si>
  <si>
    <t>S0162</t>
  </si>
  <si>
    <t>超 王祿 2024★</t>
  </si>
  <si>
    <t>S0163</t>
  </si>
  <si>
    <t>王祿「八〇」2023 ★★★</t>
  </si>
  <si>
    <t>S0164</t>
  </si>
  <si>
    <t>浦霞</t>
  </si>
  <si>
    <t>純米生酒</t>
  </si>
  <si>
    <t>佐浦株式會社</t>
  </si>
  <si>
    <t>まなむすめ</t>
  </si>
  <si>
    <t>S0165</t>
  </si>
  <si>
    <t>天明</t>
  </si>
  <si>
    <t>さらさら純米 打上花火 fireworks</t>
  </si>
  <si>
    <t>曙酒造</t>
  </si>
  <si>
    <t>S0166</t>
  </si>
  <si>
    <t>城陽</t>
  </si>
  <si>
    <t>純米吟醸55 青ラベル 山田錦</t>
  </si>
  <si>
    <t>城陽酒造</t>
  </si>
  <si>
    <t>S0167</t>
  </si>
  <si>
    <t>作</t>
  </si>
  <si>
    <t>神の穂 2024 純米吟醸</t>
  </si>
  <si>
    <t>清水清三郎商店株式會社</t>
  </si>
  <si>
    <t>神之穗（神の穂）</t>
  </si>
  <si>
    <t>S0168</t>
  </si>
  <si>
    <t>會津龍澤</t>
  </si>
  <si>
    <t>純米吟釀 超辛口+20</t>
  </si>
  <si>
    <t>榮川酒造</t>
  </si>
  <si>
    <t>S0169</t>
  </si>
  <si>
    <t>御湖鶴</t>
  </si>
  <si>
    <t>純米吟醸 山恵錦 火入れ</t>
  </si>
  <si>
    <t>諏訪御湖鶴酒造場</t>
  </si>
  <si>
    <t>山恵錦</t>
  </si>
  <si>
    <t>S0170</t>
  </si>
  <si>
    <t>白瀧</t>
  </si>
  <si>
    <t>SEVEN 純米大吟醸 原酒 50</t>
  </si>
  <si>
    <t>白瀧酒造株式會社</t>
  </si>
  <si>
    <t>S0171</t>
  </si>
  <si>
    <t>Henge</t>
  </si>
  <si>
    <t>「umami」</t>
  </si>
  <si>
    <t>土田酒造</t>
  </si>
  <si>
    <t>群馬</t>
  </si>
  <si>
    <t>品牌開發與銷售：株式会社Cypher</t>
  </si>
  <si>
    <t>S0172</t>
  </si>
  <si>
    <t>花陽浴</t>
  </si>
  <si>
    <t>袋吊 純米大吟釀 無濾過 原酒 火入 八反錦</t>
  </si>
  <si>
    <t>南陽釀造</t>
  </si>
  <si>
    <t>琦玉</t>
  </si>
  <si>
    <t>S0173</t>
  </si>
  <si>
    <t>裏翠玉</t>
  </si>
  <si>
    <t>純米吟釀 秋田酒こまち 無過濾 生酒</t>
  </si>
  <si>
    <t>S0174</t>
  </si>
  <si>
    <t>山崎醸</t>
  </si>
  <si>
    <t>夢吟香 DREAM 生酒 純米大吟醸原酒</t>
  </si>
  <si>
    <t>山崎合資会社</t>
  </si>
  <si>
    <t>夢吟香</t>
  </si>
  <si>
    <t>S0175</t>
  </si>
  <si>
    <t>今西</t>
  </si>
  <si>
    <t>純米吟釀 朝日</t>
  </si>
  <si>
    <t>S0176</t>
  </si>
  <si>
    <t>福海</t>
  </si>
  <si>
    <t>海標</t>
  </si>
  <si>
    <t>福田酒造</t>
  </si>
  <si>
    <t>長崎</t>
  </si>
  <si>
    <t>S0177</t>
  </si>
  <si>
    <t>澤乃花</t>
  </si>
  <si>
    <t>beau michelle</t>
  </si>
  <si>
    <t>伴野酒造</t>
  </si>
  <si>
    <t>非公開</t>
  </si>
  <si>
    <r>
      <t>65%</t>
    </r>
    <r>
      <rPr>
        <sz val="11"/>
        <rFont val="細明體"/>
        <family val="3"/>
      </rPr>
      <t>以下</t>
    </r>
  </si>
  <si>
    <t>S0178</t>
  </si>
  <si>
    <t>東洋美人</t>
  </si>
  <si>
    <t>醇道一途 愛山 純米吟醸</t>
  </si>
  <si>
    <t>澄川酒造</t>
  </si>
  <si>
    <t>S0179</t>
  </si>
  <si>
    <t>土佐鶴</t>
  </si>
  <si>
    <t>cel-24純米大吟釀原酒</t>
  </si>
  <si>
    <t>土佐鶴酒造</t>
  </si>
  <si>
    <t>S0180</t>
  </si>
  <si>
    <t>鳴門鯛</t>
  </si>
  <si>
    <t>純米吟釀 LED</t>
  </si>
  <si>
    <t>本家松浦酒造場</t>
  </si>
  <si>
    <t>德島</t>
  </si>
  <si>
    <t>阿波市場山田錦</t>
  </si>
  <si>
    <t>S0181</t>
  </si>
  <si>
    <t>雅樂代</t>
  </si>
  <si>
    <t>大野龜</t>
  </si>
  <si>
    <t>天領盃酒造</t>
  </si>
  <si>
    <t>未公開</t>
  </si>
  <si>
    <t>S0182</t>
  </si>
  <si>
    <t>鳴神</t>
  </si>
  <si>
    <t>山田錦、一本〆</t>
  </si>
  <si>
    <t>S0183</t>
  </si>
  <si>
    <t>月華</t>
  </si>
  <si>
    <t>山田錦（麴米）／五百萬石（掛米）</t>
  </si>
  <si>
    <t>S0184</t>
  </si>
  <si>
    <t>臥龍梅</t>
  </si>
  <si>
    <t>純米大吟醸 三味和醸</t>
  </si>
  <si>
    <t>三和酒造株式会社</t>
  </si>
  <si>
    <t>S0185</t>
  </si>
  <si>
    <t>台中六十五</t>
  </si>
  <si>
    <r>
      <rPr>
        <sz val="11"/>
        <rFont val="微軟正黑體"/>
        <family val="2"/>
      </rPr>
      <t>山廢</t>
    </r>
    <r>
      <rPr>
        <sz val="11"/>
        <rFont val="Arial"/>
        <family val="2"/>
      </rPr>
      <t xml:space="preserve"> </t>
    </r>
    <r>
      <rPr>
        <sz val="11"/>
        <rFont val="微軟正黑體"/>
        <family val="2"/>
      </rPr>
      <t>純米大吟釀</t>
    </r>
  </si>
  <si>
    <t>台雲酒造合同会社</t>
  </si>
  <si>
    <t>S0186</t>
  </si>
  <si>
    <t>光榮菊</t>
  </si>
  <si>
    <t>希望之湖 PX雪莉樽熟成</t>
  </si>
  <si>
    <t>光榮菊酒造</t>
  </si>
  <si>
    <t>S0187</t>
  </si>
  <si>
    <t>百十郎</t>
  </si>
  <si>
    <t>蒼藍 純米大吟釀 2026</t>
  </si>
  <si>
    <t>林本店株式會社</t>
  </si>
  <si>
    <t>岐阜</t>
  </si>
  <si>
    <t>あいちのかおり（愛知之香）</t>
  </si>
  <si>
    <t>S0188</t>
  </si>
  <si>
    <t>神藏</t>
  </si>
  <si>
    <t>CLEAR 祝</t>
  </si>
  <si>
    <t>松井酒造</t>
  </si>
  <si>
    <t>祝</t>
  </si>
  <si>
    <t>S0189</t>
  </si>
  <si>
    <t>彩來</t>
  </si>
  <si>
    <t>純米吟釀 生詰</t>
  </si>
  <si>
    <t>北西酒造株式會社</t>
  </si>
  <si>
    <t>埼玉縣</t>
  </si>
  <si>
    <t>山田錦（麴米）／雄町（掛米）</t>
  </si>
  <si>
    <t>S0190</t>
  </si>
  <si>
    <t>阿部勘</t>
  </si>
  <si>
    <t>純米吟釀 夏の潮 金魚ラベル</t>
  </si>
  <si>
    <t>阿部勘酒造店</t>
  </si>
  <si>
    <t>S0191</t>
  </si>
  <si>
    <t>開華</t>
  </si>
  <si>
    <t>純米ひやおろし</t>
  </si>
  <si>
    <t>第一酒造</t>
  </si>
  <si>
    <t>S0192</t>
  </si>
  <si>
    <t>朝日之夢（あさひの夢）／五百萬石</t>
  </si>
  <si>
    <t>S0193</t>
  </si>
  <si>
    <t>S0194</t>
  </si>
  <si>
    <t>純米吟醸</t>
  </si>
  <si>
    <t>S0195</t>
  </si>
  <si>
    <t>遠心分離 純米吟釀生原酒</t>
  </si>
  <si>
    <t>S0196</t>
  </si>
  <si>
    <t>Silky White遠心分離酒純米吟醸にごり</t>
  </si>
  <si>
    <t>S0197</t>
  </si>
  <si>
    <t>遠心分離酒(純米吟醸生酒)</t>
  </si>
  <si>
    <t>五百萬石／美山錦</t>
  </si>
  <si>
    <t>S0198</t>
  </si>
  <si>
    <t>遠心分離酒(純米吟醸ひやおろし)</t>
  </si>
  <si>
    <t>S0199</t>
  </si>
  <si>
    <t>鐵鏽搖滾貓</t>
  </si>
  <si>
    <t>豬又酒造</t>
  </si>
  <si>
    <t>新潟縣</t>
  </si>
  <si>
    <t>S0200</t>
  </si>
  <si>
    <t>SAKE HUNDRED</t>
  </si>
  <si>
    <t>弐光</t>
  </si>
  <si>
    <t>白瀧酒造</t>
  </si>
  <si>
    <t>S0201</t>
  </si>
  <si>
    <t>森嶋</t>
  </si>
  <si>
    <t>25+ Black 純米大吟釀</t>
  </si>
  <si>
    <t>森島酒造</t>
  </si>
  <si>
    <t>茨城</t>
  </si>
  <si>
    <t>S0202</t>
  </si>
  <si>
    <t>純米吟釀夏季清酒金魚標籤</t>
  </si>
  <si>
    <t>藏之華（麴米）／ササニシキ（掛米）</t>
  </si>
  <si>
    <t>S0203</t>
  </si>
  <si>
    <t>津島屋</t>
  </si>
  <si>
    <t>純米吟釀 信州山惠錦 無濾過生原酒</t>
  </si>
  <si>
    <t>御代櫻酒造</t>
  </si>
  <si>
    <t>品飲ID</t>
  </si>
  <si>
    <t>銘柄（自動）</t>
  </si>
  <si>
    <t>酒款（自動）</t>
  </si>
  <si>
    <t>品飲日期</t>
  </si>
  <si>
    <t>品飲方式</t>
  </si>
  <si>
    <t>取得方式</t>
  </si>
  <si>
    <t>品飲地點</t>
  </si>
  <si>
    <t>品飲紀錄</t>
  </si>
  <si>
    <t>喜歡程度（1～5分）</t>
  </si>
  <si>
    <t>再喝意願（1～5分）</t>
  </si>
  <si>
    <t>瓶裝容量（ml）</t>
  </si>
  <si>
    <t>購入店家／來源</t>
  </si>
  <si>
    <t>購入日期</t>
  </si>
  <si>
    <t>價格</t>
  </si>
  <si>
    <t>幣別</t>
  </si>
  <si>
    <t>計價單位</t>
  </si>
  <si>
    <t>價格說明</t>
  </si>
  <si>
    <t>香氣標籤</t>
  </si>
  <si>
    <t>口感標籤</t>
  </si>
  <si>
    <t>品飲照片</t>
  </si>
  <si>
    <t>同瓶編號</t>
  </si>
  <si>
    <t>開瓶日期</t>
  </si>
  <si>
    <t>開瓶後變化</t>
  </si>
  <si>
    <t>價格公開</t>
  </si>
  <si>
    <t>T00001</t>
  </si>
  <si>
    <t>2025.10月</t>
  </si>
  <si>
    <t>單杯</t>
  </si>
  <si>
    <t>套餐／活動</t>
  </si>
  <si>
    <t>清酒共和國(大阪心齋橋)</t>
  </si>
  <si>
    <t>JPY</t>
  </si>
  <si>
    <t>價格說明保留套餐／活動總價，不當作此杯價格。</t>
  </si>
  <si>
    <t>T00002</t>
  </si>
  <si>
    <t>2026.07月</t>
  </si>
  <si>
    <t>招待</t>
  </si>
  <si>
    <t>TWD</t>
  </si>
  <si>
    <t>會員滿額贈招待</t>
  </si>
  <si>
    <t>T00003</t>
  </si>
  <si>
    <t>2026.06月</t>
  </si>
  <si>
    <t>T00004</t>
  </si>
  <si>
    <t>2026.08月</t>
  </si>
  <si>
    <t>整瓶</t>
  </si>
  <si>
    <t>自購</t>
  </si>
  <si>
    <t>每瓶</t>
  </si>
  <si>
    <t>原份量為瓶裝容量；整瓶不代表實際喝完。</t>
  </si>
  <si>
    <t>T00005</t>
  </si>
  <si>
    <t>2026.09月</t>
  </si>
  <si>
    <t>T00006</t>
  </si>
  <si>
    <t>套餐／活動總額</t>
  </si>
  <si>
    <t>T00007</t>
  </si>
  <si>
    <t>T00008</t>
  </si>
  <si>
    <t>T00009</t>
  </si>
  <si>
    <t>贈送</t>
  </si>
  <si>
    <t>原份量為瓶裝容量；整瓶不代表實際喝完。；取得方式待確認；僅依原容量標示整瓶。</t>
  </si>
  <si>
    <t>T00010</t>
  </si>
  <si>
    <t>T00011</t>
  </si>
  <si>
    <t>自宅</t>
  </si>
  <si>
    <r>
      <t>JLk sake(</t>
    </r>
    <r>
      <rPr>
        <sz val="11"/>
        <color rgb="FF253041"/>
        <rFont val="細明體"/>
        <family val="3"/>
      </rPr>
      <t>台北信義區</t>
    </r>
    <r>
      <rPr>
        <sz val="11"/>
        <color rgb="FF253041"/>
        <rFont val="Arial"/>
        <family val="2"/>
      </rPr>
      <t>)</t>
    </r>
  </si>
  <si>
    <t>NT.1180</t>
  </si>
  <si>
    <t>T00012</t>
  </si>
  <si>
    <t>T00013</t>
  </si>
  <si>
    <t>T00014</t>
  </si>
  <si>
    <t>sake&amp;me(台北士林區)</t>
  </si>
  <si>
    <t>NT.1580</t>
  </si>
  <si>
    <t>T00015</t>
  </si>
  <si>
    <t>T00016</t>
  </si>
  <si>
    <t>T00017</t>
  </si>
  <si>
    <t>T00018</t>
  </si>
  <si>
    <t>T00019</t>
  </si>
  <si>
    <t>T00020</t>
  </si>
  <si>
    <t>T00021</t>
  </si>
  <si>
    <t>公開</t>
  </si>
  <si>
    <t>T00022</t>
  </si>
  <si>
    <t>T00023</t>
  </si>
  <si>
    <r>
      <t>2026.08</t>
    </r>
    <r>
      <rPr>
        <sz val="11"/>
        <color rgb="FF253041"/>
        <rFont val="微軟正黑體"/>
        <family val="2"/>
      </rPr>
      <t>月</t>
    </r>
  </si>
  <si>
    <t>NT.7900 (內用開瓶)</t>
  </si>
  <si>
    <t>原份量為瓶裝容量；整瓶不代表實際喝完。；原喜歡：是；原想再喝：否（已改5分制，待重新評分）</t>
  </si>
  <si>
    <t>T00024</t>
  </si>
  <si>
    <r>
      <t>2026.09</t>
    </r>
    <r>
      <rPr>
        <sz val="11"/>
        <color rgb="FF253041"/>
        <rFont val="微軟正黑體"/>
        <family val="2"/>
      </rPr>
      <t>月</t>
    </r>
  </si>
  <si>
    <t>NT.8900 (內用開瓶)</t>
  </si>
  <si>
    <t>T00025</t>
  </si>
  <si>
    <r>
      <t>NT.2880 (</t>
    </r>
    <r>
      <rPr>
        <sz val="11"/>
        <color rgb="FF253041"/>
        <rFont val="Microsoft JhengHei"/>
        <family val="2"/>
      </rPr>
      <t>外帶</t>
    </r>
    <r>
      <rPr>
        <sz val="11"/>
        <color rgb="FF253041"/>
        <rFont val="Arial"/>
        <family val="2"/>
      </rPr>
      <t>)</t>
    </r>
  </si>
  <si>
    <t>T00026</t>
  </si>
  <si>
    <r>
      <t>NT.5000 (</t>
    </r>
    <r>
      <rPr>
        <sz val="11"/>
        <color rgb="FF253041"/>
        <rFont val="微軟正黑體"/>
        <family val="2"/>
      </rPr>
      <t>內用開瓶</t>
    </r>
    <r>
      <rPr>
        <sz val="11"/>
        <color rgb="FF253041"/>
        <rFont val="Arial"/>
        <family val="2"/>
      </rPr>
      <t>)</t>
    </r>
  </si>
  <si>
    <t>整瓶喝完</t>
  </si>
  <si>
    <t>T00027</t>
  </si>
  <si>
    <r>
      <t>NT.6000 (</t>
    </r>
    <r>
      <rPr>
        <sz val="11"/>
        <color rgb="FF253041"/>
        <rFont val="微軟正黑體"/>
        <family val="2"/>
      </rPr>
      <t>內用開瓶</t>
    </r>
    <r>
      <rPr>
        <sz val="11"/>
        <color rgb="FF253041"/>
        <rFont val="Arial"/>
        <family val="2"/>
      </rPr>
      <t>)</t>
    </r>
  </si>
  <si>
    <t>T00028</t>
  </si>
  <si>
    <t>NT.4380 (外帶)</t>
  </si>
  <si>
    <t>T00029</t>
  </si>
  <si>
    <r>
      <t>NT.5500 (</t>
    </r>
    <r>
      <rPr>
        <sz val="11"/>
        <color rgb="FF253041"/>
        <rFont val="微軟正黑體"/>
        <family val="2"/>
      </rPr>
      <t>內用開瓶</t>
    </r>
    <r>
      <rPr>
        <sz val="11"/>
        <color rgb="FF253041"/>
        <rFont val="Arial"/>
        <family val="2"/>
      </rPr>
      <t>)</t>
    </r>
  </si>
  <si>
    <t>T00030</t>
  </si>
  <si>
    <r>
      <t>NT.5800 (</t>
    </r>
    <r>
      <rPr>
        <sz val="11"/>
        <color rgb="FF253041"/>
        <rFont val="微軟正黑體"/>
        <family val="2"/>
      </rPr>
      <t>內用開瓶</t>
    </r>
    <r>
      <rPr>
        <sz val="11"/>
        <color rgb="FF253041"/>
        <rFont val="Arial"/>
        <family val="2"/>
      </rPr>
      <t>)</t>
    </r>
  </si>
  <si>
    <t>T00031</t>
  </si>
  <si>
    <t>WINE&amp;TASTE 品迷網</t>
  </si>
  <si>
    <t>NT.3788</t>
  </si>
  <si>
    <t>T00032</t>
  </si>
  <si>
    <r>
      <t>sake&amp;me (</t>
    </r>
    <r>
      <rPr>
        <sz val="11"/>
        <color rgb="FF253041"/>
        <rFont val="Microsoft JhengHei"/>
        <family val="2"/>
      </rPr>
      <t>台北士林區</t>
    </r>
    <r>
      <rPr>
        <sz val="11"/>
        <color rgb="FF253041"/>
        <rFont val="Arial"/>
        <family val="2"/>
      </rPr>
      <t>)</t>
    </r>
  </si>
  <si>
    <t>NT.4880</t>
  </si>
  <si>
    <t>T00033</t>
  </si>
  <si>
    <t>T00034</t>
  </si>
  <si>
    <t>T00035</t>
  </si>
  <si>
    <t>肴合清酒 Signature Bar (台北信義區)</t>
  </si>
  <si>
    <t>T00036</t>
  </si>
  <si>
    <r>
      <t>肴合清酒</t>
    </r>
    <r>
      <rPr>
        <sz val="11"/>
        <color rgb="FF253041"/>
        <rFont val="Arial"/>
        <family val="2"/>
      </rPr>
      <t xml:space="preserve"> Signature Bar (</t>
    </r>
    <r>
      <rPr>
        <sz val="11"/>
        <color rgb="FF253041"/>
        <rFont val="細明體"/>
        <family val="2"/>
      </rPr>
      <t>台北信義區</t>
    </r>
    <r>
      <rPr>
        <sz val="11"/>
        <color rgb="FF253041"/>
        <rFont val="Arial"/>
        <family val="2"/>
      </rPr>
      <t>)</t>
    </r>
  </si>
  <si>
    <t>T00037</t>
  </si>
  <si>
    <t>T00038</t>
  </si>
  <si>
    <t>T00039</t>
  </si>
  <si>
    <t>T00040</t>
  </si>
  <si>
    <t>T00041</t>
  </si>
  <si>
    <t>T00042</t>
  </si>
  <si>
    <t>T00043</t>
  </si>
  <si>
    <t>T00044</t>
  </si>
  <si>
    <t>T00045</t>
  </si>
  <si>
    <t>T00046</t>
  </si>
  <si>
    <t>T00047</t>
  </si>
  <si>
    <t>T00048</t>
  </si>
  <si>
    <r>
      <t>2026.02</t>
    </r>
    <r>
      <rPr>
        <sz val="11"/>
        <color rgb="FF253041"/>
        <rFont val="Microsoft JhengHei"/>
        <family val="2"/>
      </rPr>
      <t>月</t>
    </r>
  </si>
  <si>
    <r>
      <t>小酩</t>
    </r>
    <r>
      <rPr>
        <sz val="11"/>
        <color rgb="FF253041"/>
        <rFont val="Arial"/>
        <family val="2"/>
      </rPr>
      <t>Sake Bar</t>
    </r>
  </si>
  <si>
    <t>T00049</t>
  </si>
  <si>
    <r>
      <t>2026.09</t>
    </r>
    <r>
      <rPr>
        <sz val="11"/>
        <color rgb="FF253041"/>
        <rFont val="Microsoft JhengHei"/>
        <family val="2"/>
      </rPr>
      <t>月</t>
    </r>
  </si>
  <si>
    <t>T00050</t>
  </si>
  <si>
    <r>
      <t xml:space="preserve">Sake Union </t>
    </r>
    <r>
      <rPr>
        <sz val="11"/>
        <color rgb="FF253041"/>
        <rFont val="細明體"/>
        <family val="2"/>
      </rPr>
      <t>蘊釀台北</t>
    </r>
  </si>
  <si>
    <r>
      <t xml:space="preserve">Sake Union </t>
    </r>
    <r>
      <rPr>
        <sz val="11"/>
        <color rgb="FF253041"/>
        <rFont val="細明體"/>
        <family val="3"/>
      </rPr>
      <t>蘊釀台北</t>
    </r>
  </si>
  <si>
    <t>T00055</t>
  </si>
  <si>
    <t>每杯</t>
  </si>
  <si>
    <t>原品飲ID T00050 重複，本筆改為 T00055。</t>
  </si>
  <si>
    <t>T00051</t>
  </si>
  <si>
    <t>T00052</t>
  </si>
  <si>
    <t>T00053</t>
  </si>
  <si>
    <t>T00054</t>
  </si>
  <si>
    <t>T00056</t>
  </si>
  <si>
    <r>
      <t>2026.07</t>
    </r>
    <r>
      <rPr>
        <sz val="11"/>
        <color rgb="FF253041"/>
        <rFont val="Microsoft JhengHei"/>
        <family val="2"/>
      </rPr>
      <t>月</t>
    </r>
  </si>
  <si>
    <t>T00057</t>
  </si>
  <si>
    <t>T00058</t>
  </si>
  <si>
    <t>T00059</t>
  </si>
  <si>
    <t>T00060</t>
  </si>
  <si>
    <t>T00061</t>
  </si>
  <si>
    <t>T00062</t>
  </si>
  <si>
    <t>T00063</t>
  </si>
  <si>
    <t>T00064</t>
  </si>
  <si>
    <t>T00065</t>
  </si>
  <si>
    <r>
      <t>2026</t>
    </r>
    <r>
      <rPr>
        <sz val="11"/>
        <color rgb="FF253041"/>
        <rFont val="細明體"/>
        <family val="2"/>
      </rPr>
      <t>年</t>
    </r>
    <r>
      <rPr>
        <sz val="11"/>
        <color rgb="FF253041"/>
        <rFont val="Arial"/>
        <family val="2"/>
      </rPr>
      <t>2</t>
    </r>
    <r>
      <rPr>
        <sz val="11"/>
        <color rgb="FF253041"/>
        <rFont val="細明體"/>
        <family val="2"/>
      </rPr>
      <t>月</t>
    </r>
  </si>
  <si>
    <t>T00066</t>
  </si>
  <si>
    <t>T00067</t>
  </si>
  <si>
    <r>
      <t>2026.06</t>
    </r>
    <r>
      <rPr>
        <sz val="11"/>
        <color rgb="FF253041"/>
        <rFont val="Microsoft JhengHei"/>
        <family val="2"/>
      </rPr>
      <t>月</t>
    </r>
  </si>
  <si>
    <t>T00068</t>
  </si>
  <si>
    <t>T00069</t>
  </si>
  <si>
    <t>T00070</t>
  </si>
  <si>
    <t>T00071</t>
  </si>
  <si>
    <r>
      <t>2026.8</t>
    </r>
    <r>
      <rPr>
        <sz val="11"/>
        <color rgb="FF253041"/>
        <rFont val="Microsoft JhengHei"/>
        <family val="2"/>
      </rPr>
      <t>月</t>
    </r>
  </si>
  <si>
    <t>T00072</t>
  </si>
  <si>
    <t>T00073</t>
  </si>
  <si>
    <t>T00074</t>
  </si>
  <si>
    <t>T00075</t>
  </si>
  <si>
    <t>T00076</t>
  </si>
  <si>
    <t>T00077</t>
  </si>
  <si>
    <t>T00078</t>
  </si>
  <si>
    <r>
      <t>2026.2</t>
    </r>
    <r>
      <rPr>
        <sz val="11"/>
        <color rgb="FF253041"/>
        <rFont val="Microsoft JhengHei"/>
        <family val="2"/>
      </rPr>
      <t>月</t>
    </r>
  </si>
  <si>
    <t>T00079</t>
  </si>
  <si>
    <r>
      <rPr>
        <sz val="11"/>
        <color rgb="FF253041"/>
        <rFont val="細明體"/>
        <family val="2"/>
      </rPr>
      <t>小酩</t>
    </r>
    <r>
      <rPr>
        <sz val="11"/>
        <color rgb="FF253041"/>
        <rFont val="Arial"/>
        <family val="2"/>
      </rPr>
      <t>sake bar (</t>
    </r>
    <r>
      <rPr>
        <sz val="11"/>
        <color rgb="FF253041"/>
        <rFont val="Microsoft JhengHei"/>
        <family val="2"/>
      </rPr>
      <t>台北大安區</t>
    </r>
    <r>
      <rPr>
        <sz val="11"/>
        <color rgb="FF253041"/>
        <rFont val="Arial"/>
        <family val="2"/>
      </rPr>
      <t>)</t>
    </r>
  </si>
  <si>
    <t>T00080</t>
  </si>
  <si>
    <t>T00081</t>
  </si>
  <si>
    <t>T00082</t>
  </si>
  <si>
    <t>T00083</t>
  </si>
  <si>
    <r>
      <rPr>
        <sz val="11"/>
        <color rgb="FF253041"/>
        <rFont val="細明體"/>
        <family val="2"/>
      </rPr>
      <t>吉力酒藏</t>
    </r>
    <r>
      <rPr>
        <sz val="11"/>
        <color rgb="FF253041"/>
        <rFont val="Arial"/>
        <family val="2"/>
      </rPr>
      <t xml:space="preserve"> (</t>
    </r>
    <r>
      <rPr>
        <sz val="11"/>
        <color rgb="FF253041"/>
        <rFont val="Microsoft JhengHei"/>
        <family val="2"/>
      </rPr>
      <t>台北大安區</t>
    </r>
    <r>
      <rPr>
        <sz val="11"/>
        <color rgb="FF253041"/>
        <rFont val="Arial"/>
        <family val="2"/>
      </rPr>
      <t>)</t>
    </r>
  </si>
  <si>
    <t>T00084</t>
  </si>
  <si>
    <t>T00085</t>
  </si>
  <si>
    <t>T00086</t>
  </si>
  <si>
    <t>T00087</t>
  </si>
  <si>
    <t>T00088</t>
  </si>
  <si>
    <t>T00089</t>
  </si>
  <si>
    <t>T00090</t>
  </si>
  <si>
    <r>
      <t>2026.6</t>
    </r>
    <r>
      <rPr>
        <sz val="11"/>
        <color rgb="FF253041"/>
        <rFont val="Microsoft JhengHei"/>
        <family val="2"/>
      </rPr>
      <t>月</t>
    </r>
  </si>
  <si>
    <t>T00091</t>
  </si>
  <si>
    <t>T00092</t>
  </si>
  <si>
    <t>T00093</t>
  </si>
  <si>
    <t>T00094</t>
  </si>
  <si>
    <t>T00095</t>
  </si>
  <si>
    <t>T00096</t>
  </si>
  <si>
    <t>T00097</t>
  </si>
  <si>
    <t>T00098</t>
  </si>
  <si>
    <t>T00099</t>
  </si>
  <si>
    <r>
      <t>2026.7</t>
    </r>
    <r>
      <rPr>
        <sz val="11"/>
        <color rgb="FF253041"/>
        <rFont val="Microsoft JhengHei"/>
        <family val="2"/>
      </rPr>
      <t>月</t>
    </r>
  </si>
  <si>
    <t>T00100</t>
  </si>
  <si>
    <t>T00101</t>
  </si>
  <si>
    <t>T00102</t>
  </si>
  <si>
    <t>T00103</t>
  </si>
  <si>
    <t>T00104</t>
  </si>
  <si>
    <t>T00105</t>
  </si>
  <si>
    <t>T00106</t>
  </si>
  <si>
    <t>T00107</t>
  </si>
  <si>
    <r>
      <t>JLK SAKE STUDIO</t>
    </r>
    <r>
      <rPr>
        <sz val="11"/>
        <color rgb="FF253041"/>
        <rFont val="細明體"/>
        <family val="2"/>
      </rPr>
      <t>清酒專賣店</t>
    </r>
    <r>
      <rPr>
        <sz val="11"/>
        <color rgb="FF253041"/>
        <rFont val="Arial"/>
        <family val="2"/>
      </rPr>
      <t xml:space="preserve"> (</t>
    </r>
    <r>
      <rPr>
        <sz val="11"/>
        <color rgb="FF253041"/>
        <rFont val="Microsoft JhengHei"/>
        <family val="2"/>
      </rPr>
      <t>台北信義區</t>
    </r>
    <r>
      <rPr>
        <sz val="11"/>
        <color rgb="FF253041"/>
        <rFont val="Arial"/>
        <family val="2"/>
      </rPr>
      <t>)</t>
    </r>
  </si>
  <si>
    <t>T00108</t>
  </si>
  <si>
    <t>T00109</t>
  </si>
  <si>
    <t>T00110</t>
  </si>
  <si>
    <t>T00111</t>
  </si>
  <si>
    <t>T00112</t>
  </si>
  <si>
    <t>T00113</t>
  </si>
  <si>
    <t>T00114</t>
  </si>
  <si>
    <t>T00115</t>
  </si>
  <si>
    <t>T00116</t>
  </si>
  <si>
    <t>T00117</t>
  </si>
  <si>
    <t>T00118</t>
  </si>
  <si>
    <t>T00119</t>
  </si>
  <si>
    <t>T00120</t>
  </si>
  <si>
    <t>T00121</t>
  </si>
  <si>
    <t>T00122</t>
  </si>
  <si>
    <t>T00123</t>
  </si>
  <si>
    <t>T00124</t>
  </si>
  <si>
    <t>T00125</t>
  </si>
  <si>
    <t>T00126</t>
  </si>
  <si>
    <t>T00127</t>
  </si>
  <si>
    <t>T00128</t>
  </si>
  <si>
    <t>T00129</t>
  </si>
  <si>
    <t>T00130</t>
  </si>
  <si>
    <t>T00131</t>
  </si>
  <si>
    <r>
      <t>2026.04</t>
    </r>
    <r>
      <rPr>
        <sz val="11"/>
        <color rgb="FF253041"/>
        <rFont val="Microsoft JhengHei"/>
        <family val="2"/>
      </rPr>
      <t>月</t>
    </r>
  </si>
  <si>
    <t>T00132</t>
  </si>
  <si>
    <t>T00133</t>
  </si>
  <si>
    <t>T00134</t>
  </si>
  <si>
    <t>T00135</t>
  </si>
  <si>
    <t>T00136</t>
  </si>
  <si>
    <t>T00137</t>
  </si>
  <si>
    <t>T00138</t>
  </si>
  <si>
    <t>T00139</t>
  </si>
  <si>
    <t>T00140</t>
  </si>
  <si>
    <t>T00141</t>
  </si>
  <si>
    <t>T00142</t>
  </si>
  <si>
    <t>T00143</t>
  </si>
  <si>
    <t>T00144</t>
  </si>
  <si>
    <t>T00145</t>
  </si>
  <si>
    <t>T00146</t>
  </si>
  <si>
    <t>T00147</t>
  </si>
  <si>
    <t>T00148</t>
  </si>
  <si>
    <t>T00149</t>
  </si>
  <si>
    <t>T00150</t>
  </si>
  <si>
    <t>T00151</t>
  </si>
  <si>
    <t>T00152</t>
  </si>
  <si>
    <t>T00153</t>
  </si>
  <si>
    <t>T00154</t>
  </si>
  <si>
    <t>T00155</t>
  </si>
  <si>
    <t>T00156</t>
  </si>
  <si>
    <t>T00157</t>
  </si>
  <si>
    <t>T00158</t>
  </si>
  <si>
    <t>T00159</t>
  </si>
  <si>
    <t>T00160</t>
  </si>
  <si>
    <t>T00161</t>
  </si>
  <si>
    <t>餐廳</t>
  </si>
  <si>
    <t>T00162</t>
  </si>
  <si>
    <t>T00163</t>
  </si>
  <si>
    <t>T00164</t>
  </si>
  <si>
    <t>T00165</t>
  </si>
  <si>
    <t>T00166</t>
  </si>
  <si>
    <t>T00167</t>
  </si>
  <si>
    <t>T00168</t>
  </si>
  <si>
    <t>T00169</t>
  </si>
  <si>
    <t>T00170</t>
  </si>
  <si>
    <t>T00171</t>
  </si>
  <si>
    <t>T00172</t>
  </si>
  <si>
    <t>他人分享</t>
  </si>
  <si>
    <t>漾波酒食処</t>
  </si>
  <si>
    <t>T00173</t>
  </si>
  <si>
    <t>T00174</t>
  </si>
  <si>
    <t>T00175</t>
  </si>
  <si>
    <t>T00176</t>
  </si>
  <si>
    <t>T00177</t>
  </si>
  <si>
    <t>T00178</t>
  </si>
  <si>
    <t>颱風天活動</t>
  </si>
  <si>
    <t>T00179</t>
  </si>
  <si>
    <t>T00180</t>
  </si>
  <si>
    <t>T00181</t>
  </si>
  <si>
    <t>T00182</t>
  </si>
  <si>
    <r>
      <t>2026.08</t>
    </r>
    <r>
      <rPr>
        <sz val="11"/>
        <color rgb="FF253041"/>
        <rFont val="Microsoft JhengHei"/>
        <family val="2"/>
      </rPr>
      <t>月</t>
    </r>
  </si>
  <si>
    <t>T00183</t>
  </si>
  <si>
    <t>T00184</t>
  </si>
  <si>
    <t>T00185</t>
  </si>
  <si>
    <t>T00186</t>
  </si>
  <si>
    <t>T00187</t>
  </si>
  <si>
    <t>T00188</t>
  </si>
  <si>
    <t>T00189</t>
  </si>
  <si>
    <r>
      <rPr>
        <sz val="11"/>
        <color rgb="FF253041"/>
        <rFont val="Microsoft JhengHei"/>
        <family val="2"/>
      </rPr>
      <t>萬有飲力酒展</t>
    </r>
    <r>
      <rPr>
        <sz val="11"/>
        <color rgb="FF253041"/>
        <rFont val="Arial"/>
        <family val="2"/>
      </rPr>
      <t>(</t>
    </r>
    <r>
      <rPr>
        <sz val="11"/>
        <color rgb="FF253041"/>
        <rFont val="細明體"/>
        <family val="2"/>
      </rPr>
      <t>台北萬豪酒店</t>
    </r>
    <r>
      <rPr>
        <sz val="11"/>
        <color rgb="FF253041"/>
        <rFont val="Arial"/>
        <family val="2"/>
      </rPr>
      <t>)</t>
    </r>
  </si>
  <si>
    <t>40-60ML</t>
  </si>
  <si>
    <t>T00190</t>
  </si>
  <si>
    <t>T00191</t>
  </si>
  <si>
    <t>60ML</t>
  </si>
  <si>
    <t>T00192</t>
  </si>
  <si>
    <t>T00193</t>
  </si>
  <si>
    <t>T00194</t>
  </si>
  <si>
    <t>T00195</t>
  </si>
  <si>
    <t>T00196</t>
  </si>
  <si>
    <t>T00197</t>
  </si>
  <si>
    <t>T00198</t>
  </si>
  <si>
    <t>T00199</t>
  </si>
  <si>
    <t>T00200</t>
  </si>
  <si>
    <t>T00201</t>
  </si>
  <si>
    <t>T00202</t>
  </si>
  <si>
    <t>T00203</t>
  </si>
  <si>
    <t>酒記 Master Data v5</t>
  </si>
  <si>
    <t>單杯與整瓶共用一張品飲表</t>
  </si>
  <si>
    <t>核心填法</t>
  </si>
  <si>
    <t>先填酒款ID、日期、方式、地點與心得。銘柄及酒款自動帶出，其餘欄位知道再填。</t>
  </si>
  <si>
    <t>酒款主資料</t>
  </si>
  <si>
    <t>同一銘柄可有多款酒。每個具體酒款建一次；重喝同款使用原酒款ID。</t>
  </si>
  <si>
    <t>每次品飲新增一列；同款不同日期、地點或批次都可再記。</t>
  </si>
  <si>
    <t>單杯／整瓶／試飲／其他。「整瓶」表示這次使用整瓶酒，不等於一人喝完。</t>
  </si>
  <si>
    <t>自購／套餐或活動／招待／贈送／他人分享／分攤／其他。可與品飲方式自由搭配。</t>
  </si>
  <si>
    <t>單杯範例</t>
  </si>
  <si>
    <t>酒吧點一杯：方式＝單杯；取得＝自購；單杯容量填 60；價格填此杯金額，單位＝每杯。</t>
  </si>
  <si>
    <t>店內整瓶範例</t>
  </si>
  <si>
    <t>店內買整瓶：方式＝整瓶；取得＝自購；品飲地點與購入店家填同店；瓶裝容量填 720。</t>
  </si>
  <si>
    <t>買回家範例</t>
  </si>
  <si>
    <t>買回家喝：方式＝整瓶；取得＝自購；品飲地點填家中，購入來源填酒商，補購入日期。</t>
  </si>
  <si>
    <t>分享與招待範例</t>
  </si>
  <si>
    <t>朋友分杯：方式＝單杯、取得＝他人分享；店家贈杯：方式＝單杯、取得＝招待。</t>
  </si>
  <si>
    <t>容量</t>
  </si>
  <si>
    <t>瓶裝容量只保留在「品飲紀錄」N欄，填瓶身標示容量；單杯容量M欄填實際杯量。均以數字ml記錄，例如720、1800；不知道可留空。</t>
  </si>
  <si>
    <t>價格用數字，幣別獨立填。保留原價格說明；招待或分享沒有明確支出可留空。</t>
  </si>
  <si>
    <t>套餐價格</t>
  </si>
  <si>
    <t>既有套餐總價只保留在價格說明，未填入每杯價格。之後同一套餐總額只記一次，其他酒寫包含於套餐。</t>
  </si>
  <si>
    <t>同瓶重喝</t>
  </si>
  <si>
    <t>同瓶編號可自訂如 B0001；第二次重喝用相同編號。瓶價只在首次紀錄，重喝留空避免重算。</t>
  </si>
  <si>
    <t>公開／不公開控制網站顯示，與記錄金額分開。留空表示尚未決定，上線前確認。</t>
  </si>
  <si>
    <t>日期</t>
  </si>
  <si>
    <t>原有僅記到月份的文字保留。知道完整日期時填 yyyy-mm-dd；只知道月份填 yyyy-mm，網站需保留日期精度。</t>
  </si>
  <si>
    <t>批次資訊</t>
  </si>
  <si>
    <t>本次喝到的酒造年度與出荷年月填品飲表；主資料既有欄位保留，不作所有品飲的固定批次。</t>
  </si>
  <si>
    <t>飲用溫度</t>
  </si>
  <si>
    <t>維持不設獨立欄位；有回溫、燗酒或溫度資訊，寫在品飲紀錄即可。</t>
  </si>
  <si>
    <t>風味標籤</t>
  </si>
  <si>
    <t>香氣與口感分開，以頓號分隔。例如香氣：紅蘋果、白桃；口感：輕盈、甜潤、微氣泡。</t>
  </si>
  <si>
    <t>照片</t>
  </si>
  <si>
    <t>主資料「酒款主圖」用代表照；品飲照片用當次照片。填圖片網址或檔名，網站依欄位載入。</t>
  </si>
  <si>
    <t>選填開瓶日期、同瓶編號與回飲變化，記錄隔天或第三天的香氣與口感。</t>
  </si>
  <si>
    <t>資料来源</t>
  </si>
  <si>
    <t>沿用既有203款酒與品飲資料。2026-10-03補查酒米／酒種，來源網址列於主資料M欄；原名稱已標示的規格亦可歸類。未公開、未找到或版本不明者留空，不依精米步合推定酒種。</t>
  </si>
  <si>
    <t>既有紀錄調整</t>
  </si>
  <si>
    <t>全部 203 款酒已列入品飲紀錄。保留原有 55 筆，補上 148 筆待填列，未代填日期、價格與心得。</t>
  </si>
  <si>
    <t>待確認資料</t>
  </si>
  <si>
    <t>原主資料的瓶裝容量已移至對應品飲紀錄；既有品飲容量保留。容量是瓶身規格，不能據此判斷實際喝掉多少；其他未確認的日期、取得方式與心得仍待自行填寫。</t>
  </si>
  <si>
    <t>原有規格提醒</t>
  </si>
  <si>
    <t>精米步合欄有 0.35 與 50 等不同儲存形式，原欄位保留。網站匯入前需統一百分比；地區亦需對應正式都道府縣。</t>
  </si>
  <si>
    <t>新增資料</t>
  </si>
  <si>
    <t>自動欄位與範圍</t>
  </si>
  <si>
    <t>網站用途</t>
  </si>
  <si>
    <t>依酒款ID建立酒款頁並聚合多次品飲，保留單杯與整瓶、貨幣和計價單位，避免混比價格。</t>
  </si>
  <si>
    <t>喜歡程度評分</t>
  </si>
  <si>
    <t>1＝很不喜歡；2＝不太喜歡；3＝普通；4＝喜歡；5＝非常喜歡。可填小數，如3.5、4.2；未評分留空。</t>
  </si>
  <si>
    <t>再喝意願評分</t>
  </si>
  <si>
    <t>1＝完全不想再喝；2＝不太想；3＝有機會可以；4＝想再喝；5＝非常想再喝。可填小數，依自己的意願評分。</t>
  </si>
  <si>
    <t>原有評價</t>
  </si>
  <si>
    <t>酒種歸類</t>
  </si>
  <si>
    <t>酒種統一使用特定名稱或已明示的類別，如純米酒、純米吟釀、純米大吟釀、普通酒、其他釀造酒。生酒、原酒、生酛、山廢等資訊保留在酒款名稱，不據此推定酒種。</t>
  </si>
  <si>
    <t>版本與來源</t>
  </si>
  <si>
    <t>優先比對酒造／代理商及相符商品資料；不同年份酒米或酒種不一致時，未確認版本者留空，主資料備註寫明疑點。原使用者已填規格保留，未以不同版本的公開資料強行替換。</t>
  </si>
  <si>
    <t>本次規格整理</t>
  </si>
  <si>
    <t>203款完整保留；酒米有資料157款，酒種有資料154款，178款附公開來源網址。此數包含原有資料及原酒款名稱明示的規格，並非全部由公開網站重新驗證。容量欄位統一後仍可記錄同款不同瓶型。</t>
  </si>
  <si>
    <t>新酒款在「酒款主資料」表格最後一格按 Tab 新增一列，填唯一酒款ID、銘柄與酒款。下一個酒款ID為 S0204；下一個品飲ID為 T00204。同款重喝使用原酒款ID，品飲ID每筆不同；請勿按排序重新編號。</t>
  </si>
  <si>
    <t>酒款ID下拉選單直接連到酒款主資料的 Excel 表格，新增表格列後自動納入，無須修改選單範圍。灰底銘柄與酒款依同一張表格自動帶出。品飲公式與其他選單保留至第500列。</t>
  </si>
  <si>
    <t>原喜歡／想再喝的「是、否、待確認」保留在該筆備註，未換算成分數。「整瓶購入意願」保留原選項，是指願不願意購入整瓶；單杯再喝意願另用1～5分記錄。</t>
  </si>
  <si>
    <t>S0204</t>
  </si>
  <si>
    <t>S0204</t>
    <phoneticPr fontId="20" type="noConversion"/>
  </si>
  <si>
    <r>
      <rPr>
        <sz val="11"/>
        <rFont val="微軟正黑體"/>
        <family val="2"/>
        <charset val="136"/>
      </rPr>
      <t>銀黑</t>
    </r>
    <r>
      <rPr>
        <sz val="11"/>
        <rFont val="Arial"/>
        <family val="2"/>
      </rPr>
      <t xml:space="preserve"> </t>
    </r>
    <r>
      <rPr>
        <sz val="11"/>
        <rFont val="微軟正黑體"/>
        <family val="2"/>
        <charset val="136"/>
      </rPr>
      <t>金紋錦</t>
    </r>
    <r>
      <rPr>
        <sz val="11"/>
        <rFont val="Arial"/>
        <family val="2"/>
      </rPr>
      <t xml:space="preserve"> </t>
    </r>
    <r>
      <rPr>
        <sz val="11"/>
        <rFont val="微軟正黑體"/>
        <family val="2"/>
        <charset val="136"/>
      </rPr>
      <t>無濾過生原酒</t>
    </r>
    <phoneticPr fontId="20" type="noConversion"/>
  </si>
  <si>
    <t>金紋錦</t>
    <phoneticPr fontId="20" type="noConversion"/>
  </si>
  <si>
    <t>T00204</t>
    <phoneticPr fontId="20" type="noConversion"/>
  </si>
  <si>
    <t xml:space="preserve"> </t>
    <phoneticPr fontId="20" type="noConversion"/>
  </si>
  <si>
    <t>夢見錦</t>
    <phoneticPr fontId="20" type="noConversion"/>
  </si>
  <si>
    <t>YAMAHAI</t>
    <phoneticPr fontId="20" type="noConversion"/>
  </si>
  <si>
    <t>製造年月</t>
    <phoneticPr fontId="20" type="noConversion"/>
  </si>
  <si>
    <t>2025.11.01</t>
    <phoneticPr fontId="20" type="noConversion"/>
  </si>
  <si>
    <r>
      <rPr>
        <sz val="11"/>
        <rFont val="微軟正黑體"/>
        <family val="2"/>
        <charset val="136"/>
      </rPr>
      <t>五百萬石</t>
    </r>
    <r>
      <rPr>
        <sz val="11"/>
        <rFont val="Carlito"/>
      </rPr>
      <t xml:space="preserve"> 80%</t>
    </r>
    <phoneticPr fontId="20" type="noConversion"/>
  </si>
  <si>
    <t>2025BY</t>
    <phoneticPr fontId="20" type="noConversion"/>
  </si>
  <si>
    <t>山形縣產 出羽燦燦100%</t>
    <phoneticPr fontId="20" type="noConversion"/>
  </si>
  <si>
    <r>
      <rPr>
        <sz val="11"/>
        <rFont val="微軟正黑體"/>
        <family val="2"/>
        <charset val="136"/>
      </rPr>
      <t>福井縣產 山田錦</t>
    </r>
    <r>
      <rPr>
        <sz val="11"/>
        <rFont val="Arial"/>
        <family val="2"/>
      </rPr>
      <t>100%</t>
    </r>
    <phoneticPr fontId="20" type="noConversion"/>
  </si>
  <si>
    <r>
      <rPr>
        <sz val="11"/>
        <rFont val="微軟正黑體"/>
        <family val="2"/>
        <charset val="136"/>
      </rPr>
      <t>銀海</t>
    </r>
    <r>
      <rPr>
        <sz val="11"/>
        <rFont val="Arial"/>
        <family val="2"/>
      </rPr>
      <t xml:space="preserve">  </t>
    </r>
    <r>
      <rPr>
        <sz val="11"/>
        <rFont val="微軟正黑體"/>
        <family val="2"/>
        <charset val="136"/>
      </rPr>
      <t>純米吟醸</t>
    </r>
    <r>
      <rPr>
        <sz val="11"/>
        <rFont val="Arial"/>
        <family val="2"/>
      </rPr>
      <t xml:space="preserve"> </t>
    </r>
    <r>
      <rPr>
        <sz val="11"/>
        <rFont val="Carlito"/>
        <family val="2"/>
        <charset val="136"/>
      </rPr>
      <t>無濾過生原酒</t>
    </r>
    <phoneticPr fontId="20" type="noConversion"/>
  </si>
  <si>
    <t>青海 純米吟醸 無濾過生原酒</t>
    <phoneticPr fontId="20" type="noConversion"/>
  </si>
  <si>
    <t>酒造好適米 100%</t>
    <phoneticPr fontId="20" type="noConversion"/>
  </si>
  <si>
    <t>2025.10月</t>
    <phoneticPr fontId="20" type="noConversion"/>
  </si>
  <si>
    <t>2026.04月</t>
    <phoneticPr fontId="20" type="noConversion"/>
  </si>
  <si>
    <t>2026.02月</t>
    <phoneticPr fontId="20" type="noConversion"/>
  </si>
  <si>
    <t>2026.05月</t>
    <phoneticPr fontId="20" type="noConversion"/>
  </si>
  <si>
    <t>出羽の里</t>
    <phoneticPr fontId="20" type="noConversion"/>
  </si>
  <si>
    <t>2026.01月</t>
    <phoneticPr fontId="20" type="noConversion"/>
  </si>
  <si>
    <t>S0205</t>
    <phoneticPr fontId="20" type="noConversion"/>
  </si>
  <si>
    <t>白露垂珠</t>
    <phoneticPr fontId="20" type="noConversion"/>
  </si>
  <si>
    <r>
      <t>雪女神</t>
    </r>
    <r>
      <rPr>
        <sz val="11"/>
        <rFont val="Carlito"/>
      </rPr>
      <t xml:space="preserve">33 </t>
    </r>
    <r>
      <rPr>
        <sz val="11"/>
        <rFont val="細明體"/>
        <family val="3"/>
        <charset val="136"/>
      </rPr>
      <t>羅針盤</t>
    </r>
    <phoneticPr fontId="20" type="noConversion"/>
  </si>
  <si>
    <t>雪女神</t>
    <phoneticPr fontId="20" type="noConversion"/>
  </si>
  <si>
    <t>竹の露</t>
    <phoneticPr fontId="20" type="noConversion"/>
  </si>
  <si>
    <t>山形</t>
    <phoneticPr fontId="20" type="noConversion"/>
  </si>
  <si>
    <t>純米大吟醸</t>
  </si>
  <si>
    <t>dry dry dry</t>
    <phoneticPr fontId="20" type="noConversion"/>
  </si>
  <si>
    <t>2026.06月</t>
    <phoneticPr fontId="20" type="noConversion"/>
  </si>
  <si>
    <t>2025.09月</t>
    <phoneticPr fontId="20" type="noConversion"/>
  </si>
  <si>
    <t>2025.11月</t>
    <phoneticPr fontId="20" type="noConversion"/>
  </si>
  <si>
    <t>2024.02月</t>
    <phoneticPr fontId="20" type="noConversion"/>
  </si>
  <si>
    <r>
      <t>2025.03</t>
    </r>
    <r>
      <rPr>
        <sz val="11"/>
        <rFont val="微軟正黑體"/>
        <family val="2"/>
        <charset val="136"/>
      </rPr>
      <t>月</t>
    </r>
    <phoneticPr fontId="20" type="noConversion"/>
  </si>
  <si>
    <r>
      <t>2026.1</t>
    </r>
    <r>
      <rPr>
        <sz val="11"/>
        <rFont val="微軟正黑體"/>
        <family val="2"/>
        <charset val="136"/>
      </rPr>
      <t>月</t>
    </r>
    <r>
      <rPr>
        <sz val="11"/>
        <rFont val="Carlito"/>
      </rPr>
      <t>6</t>
    </r>
    <r>
      <rPr>
        <sz val="11"/>
        <rFont val="微軟正黑體"/>
        <family val="2"/>
        <charset val="136"/>
      </rPr>
      <t>日</t>
    </r>
    <phoneticPr fontId="20" type="noConversion"/>
  </si>
  <si>
    <t>2023BY</t>
    <phoneticPr fontId="20" type="noConversion"/>
  </si>
  <si>
    <t>2023.08月</t>
    <phoneticPr fontId="20" type="noConversion"/>
  </si>
  <si>
    <t>2025.12月</t>
    <phoneticPr fontId="20" type="noConversion"/>
  </si>
  <si>
    <t>2025.02月</t>
    <phoneticPr fontId="20" type="noConversion"/>
  </si>
  <si>
    <r>
      <t>2026.04</t>
    </r>
    <r>
      <rPr>
        <sz val="11"/>
        <rFont val="微軟正黑體"/>
        <family val="2"/>
        <charset val="136"/>
      </rPr>
      <t>月</t>
    </r>
    <phoneticPr fontId="20" type="noConversion"/>
  </si>
  <si>
    <r>
      <t>2025.10</t>
    </r>
    <r>
      <rPr>
        <sz val="11"/>
        <rFont val="微軟正黑體"/>
        <family val="2"/>
        <charset val="136"/>
      </rPr>
      <t>月</t>
    </r>
    <phoneticPr fontId="20" type="noConversion"/>
  </si>
  <si>
    <r>
      <t>2026.01</t>
    </r>
    <r>
      <rPr>
        <sz val="11"/>
        <rFont val="微軟正黑體"/>
        <family val="2"/>
        <charset val="136"/>
      </rPr>
      <t>月</t>
    </r>
    <phoneticPr fontId="20" type="noConversion"/>
  </si>
  <si>
    <t>S0206</t>
    <phoneticPr fontId="20" type="noConversion"/>
  </si>
  <si>
    <t>東洋女神</t>
    <phoneticPr fontId="20" type="noConversion"/>
  </si>
  <si>
    <t>山田錦</t>
    <phoneticPr fontId="20" type="noConversion"/>
  </si>
  <si>
    <r>
      <t>2026.06</t>
    </r>
    <r>
      <rPr>
        <sz val="11"/>
        <rFont val="微軟正黑體"/>
        <family val="2"/>
        <charset val="136"/>
      </rPr>
      <t>月</t>
    </r>
    <phoneticPr fontId="20" type="noConversion"/>
  </si>
  <si>
    <t>純米吟釀</t>
    <phoneticPr fontId="20" type="noConversion"/>
  </si>
  <si>
    <t>非公開</t>
    <phoneticPr fontId="20" type="noConversion"/>
  </si>
  <si>
    <t>S0207</t>
    <phoneticPr fontId="20" type="noConversion"/>
  </si>
  <si>
    <t>KYOTO EDITION</t>
  </si>
  <si>
    <r>
      <t>2026.07</t>
    </r>
    <r>
      <rPr>
        <sz val="11"/>
        <rFont val="微軟正黑體"/>
        <family val="2"/>
        <charset val="136"/>
      </rPr>
      <t>月</t>
    </r>
    <phoneticPr fontId="20" type="noConversion"/>
  </si>
  <si>
    <r>
      <t>2026.05</t>
    </r>
    <r>
      <rPr>
        <sz val="11"/>
        <rFont val="微軟正黑體"/>
        <family val="2"/>
        <charset val="136"/>
      </rPr>
      <t>月</t>
    </r>
    <phoneticPr fontId="20" type="noConversion"/>
  </si>
  <si>
    <t>春未來 (台北大安區)</t>
    <phoneticPr fontId="20" type="noConversion"/>
  </si>
  <si>
    <t>小酩sake bar (台北大安區)</t>
    <phoneticPr fontId="20" type="noConversion"/>
  </si>
  <si>
    <t>朋友贈送</t>
    <phoneticPr fontId="20" type="noConversion"/>
  </si>
  <si>
    <t>今代司酒造</t>
    <phoneticPr fontId="20" type="noConversion"/>
  </si>
  <si>
    <t>久利酒藏</t>
    <phoneticPr fontId="20" type="noConversion"/>
  </si>
  <si>
    <r>
      <t>2026.04</t>
    </r>
    <r>
      <rPr>
        <sz val="11"/>
        <color rgb="FF253041"/>
        <rFont val="Microsoft JhengHei"/>
        <family val="2"/>
      </rPr>
      <t>月</t>
    </r>
    <phoneticPr fontId="20" type="noConversion"/>
  </si>
  <si>
    <r>
      <rPr>
        <sz val="11"/>
        <color rgb="FF253041"/>
        <rFont val="細明體"/>
        <family val="2"/>
        <charset val="136"/>
      </rPr>
      <t>友士酒之庭</t>
    </r>
    <r>
      <rPr>
        <sz val="11"/>
        <color rgb="FF253041"/>
        <rFont val="Arial"/>
        <family val="2"/>
      </rPr>
      <t xml:space="preserve"> (</t>
    </r>
    <r>
      <rPr>
        <sz val="11"/>
        <color rgb="FF253041"/>
        <rFont val="Microsoft JhengHei"/>
        <family val="2"/>
      </rPr>
      <t>台北大同區</t>
    </r>
    <r>
      <rPr>
        <sz val="11"/>
        <color rgb="FF253041"/>
        <rFont val="Arial"/>
        <family val="2"/>
      </rPr>
      <t>)</t>
    </r>
    <phoneticPr fontId="20" type="noConversion"/>
  </si>
  <si>
    <t>自宅</t>
    <phoneticPr fontId="20" type="noConversion"/>
  </si>
  <si>
    <r>
      <rPr>
        <sz val="11"/>
        <color rgb="FF253041"/>
        <rFont val="細明體"/>
        <family val="2"/>
        <charset val="136"/>
      </rPr>
      <t>漾波酒食処</t>
    </r>
    <r>
      <rPr>
        <sz val="11"/>
        <color rgb="FF253041"/>
        <rFont val="Arial"/>
        <family val="2"/>
      </rPr>
      <t xml:space="preserve"> (</t>
    </r>
    <r>
      <rPr>
        <sz val="11"/>
        <color rgb="FF253041"/>
        <rFont val="Microsoft JhengHei"/>
        <family val="2"/>
      </rPr>
      <t>台北大安區</t>
    </r>
    <r>
      <rPr>
        <sz val="11"/>
        <color rgb="FF253041"/>
        <rFont val="Arial"/>
        <family val="2"/>
      </rPr>
      <t>)</t>
    </r>
    <phoneticPr fontId="20" type="noConversion"/>
  </si>
  <si>
    <t>春未來/朋友贈送</t>
    <phoneticPr fontId="20" type="noConversion"/>
  </si>
  <si>
    <t>吉利酒藏 (台北大安區)</t>
    <phoneticPr fontId="20" type="noConversion"/>
  </si>
  <si>
    <r>
      <rPr>
        <sz val="11"/>
        <color rgb="FF253041"/>
        <rFont val="Microsoft JhengHei"/>
        <family val="2"/>
      </rPr>
      <t>春未來</t>
    </r>
    <r>
      <rPr>
        <sz val="11"/>
        <color rgb="FF253041"/>
        <rFont val="Arial"/>
        <family val="2"/>
      </rPr>
      <t xml:space="preserve"> / </t>
    </r>
    <r>
      <rPr>
        <sz val="11"/>
        <color rgb="FF253041"/>
        <rFont val="細明體"/>
        <family val="2"/>
        <charset val="136"/>
      </rPr>
      <t>朋友贈送</t>
    </r>
    <phoneticPr fontId="20" type="noConversion"/>
  </si>
  <si>
    <r>
      <rPr>
        <sz val="11"/>
        <color rgb="FF253041"/>
        <rFont val="Microsoft JhengHei"/>
        <family val="2"/>
      </rPr>
      <t>春未來</t>
    </r>
    <r>
      <rPr>
        <sz val="11"/>
        <color rgb="FF253041"/>
        <rFont val="Arial"/>
        <family val="2"/>
      </rPr>
      <t xml:space="preserve"> / </t>
    </r>
    <r>
      <rPr>
        <sz val="11"/>
        <color rgb="FF253041"/>
        <rFont val="Microsoft JhengHei"/>
        <family val="2"/>
      </rPr>
      <t>朋友贈送</t>
    </r>
    <phoneticPr fontId="20" type="noConversion"/>
  </si>
  <si>
    <r>
      <t>愛上日本酒</t>
    </r>
    <r>
      <rPr>
        <sz val="11"/>
        <color rgb="FF253041"/>
        <rFont val="Arial"/>
        <family val="2"/>
      </rPr>
      <t xml:space="preserve"> LOVE&amp;SAKE </t>
    </r>
    <r>
      <rPr>
        <sz val="11"/>
        <color rgb="FF253041"/>
        <rFont val="細明體"/>
        <family val="3"/>
      </rPr>
      <t>瓶蓋店 (台北南港區)</t>
    </r>
    <phoneticPr fontId="20" type="noConversion"/>
  </si>
  <si>
    <t>愛上日本酒 LOVE&amp;SAKE 瓶蓋店 (台北南港區)</t>
    <phoneticPr fontId="20" type="noConversion"/>
  </si>
  <si>
    <t>日本購買</t>
    <phoneticPr fontId="20" type="noConversion"/>
  </si>
  <si>
    <t>漾波酒食処 (台北大安區)</t>
    <phoneticPr fontId="20" type="noConversion"/>
  </si>
  <si>
    <r>
      <rPr>
        <b/>
        <sz val="11"/>
        <color rgb="FFFFFFFF"/>
        <rFont val="微軟正黑體"/>
        <family val="2"/>
        <charset val="136"/>
      </rPr>
      <t>單杯容量（</t>
    </r>
    <r>
      <rPr>
        <b/>
        <sz val="11"/>
        <color rgb="FFFFFFFF"/>
        <rFont val="Arial"/>
        <family val="2"/>
      </rPr>
      <t>ml</t>
    </r>
    <r>
      <rPr>
        <b/>
        <sz val="11"/>
        <color rgb="FFFFFFFF"/>
        <rFont val="微軟正黑體"/>
        <family val="2"/>
        <charset val="136"/>
      </rPr>
      <t>）</t>
    </r>
    <phoneticPr fontId="20" type="noConversion"/>
  </si>
  <si>
    <r>
      <rPr>
        <sz val="11"/>
        <color rgb="FF253041"/>
        <rFont val="Microsoft JhengHei"/>
        <family val="2"/>
      </rPr>
      <t>吉力酒藏</t>
    </r>
    <r>
      <rPr>
        <sz val="11"/>
        <color rgb="FF253041"/>
        <rFont val="Arial"/>
        <family val="2"/>
      </rPr>
      <t xml:space="preserve"> (</t>
    </r>
    <r>
      <rPr>
        <sz val="11"/>
        <color rgb="FF253041"/>
        <rFont val="細明體"/>
        <family val="2"/>
        <charset val="136"/>
      </rPr>
      <t>台北大安區</t>
    </r>
    <r>
      <rPr>
        <sz val="11"/>
        <color rgb="FF253041"/>
        <rFont val="Arial"/>
        <family val="2"/>
      </rPr>
      <t>)</t>
    </r>
    <phoneticPr fontId="20" type="noConversion"/>
  </si>
  <si>
    <r>
      <rPr>
        <sz val="11"/>
        <color rgb="FF253041"/>
        <rFont val="Microsoft JhengHei"/>
        <family val="2"/>
      </rPr>
      <t>友士酒之庭</t>
    </r>
    <r>
      <rPr>
        <sz val="11"/>
        <color rgb="FF253041"/>
        <rFont val="Arial"/>
        <family val="2"/>
      </rPr>
      <t xml:space="preserve"> </t>
    </r>
    <r>
      <rPr>
        <sz val="11"/>
        <color rgb="FF253041"/>
        <rFont val="Microsoft JhengHei"/>
        <family val="2"/>
        <charset val="136"/>
      </rPr>
      <t>誠品生活松菸店</t>
    </r>
    <phoneticPr fontId="20" type="noConversion"/>
  </si>
  <si>
    <r>
      <rPr>
        <sz val="11"/>
        <color rgb="FF253041"/>
        <rFont val="細明體"/>
        <family val="2"/>
        <charset val="136"/>
      </rPr>
      <t>友士酒之庭</t>
    </r>
    <r>
      <rPr>
        <sz val="11"/>
        <color rgb="FF253041"/>
        <rFont val="Arial"/>
        <family val="2"/>
      </rPr>
      <t xml:space="preserve"> SOGO </t>
    </r>
    <r>
      <rPr>
        <sz val="11"/>
        <color rgb="FF253041"/>
        <rFont val="Microsoft JhengHei"/>
        <family val="2"/>
        <charset val="136"/>
      </rPr>
      <t>台北忠孝館</t>
    </r>
    <phoneticPr fontId="20" type="noConversion"/>
  </si>
  <si>
    <r>
      <t xml:space="preserve">sakemaru </t>
    </r>
    <r>
      <rPr>
        <sz val="11"/>
        <color rgb="FF253041"/>
        <rFont val="Microsoft JhengHei"/>
        <family val="2"/>
      </rPr>
      <t>大直店</t>
    </r>
    <phoneticPr fontId="20" type="noConversion"/>
  </si>
  <si>
    <r>
      <t xml:space="preserve">Henge sake </t>
    </r>
    <r>
      <rPr>
        <sz val="11"/>
        <color rgb="FF253041"/>
        <rFont val="Microsoft JhengHei"/>
        <family val="2"/>
      </rPr>
      <t>官網</t>
    </r>
    <phoneticPr fontId="20" type="noConversion"/>
  </si>
  <si>
    <t>朋友購買</t>
    <phoneticPr fontId="20" type="noConversion"/>
  </si>
  <si>
    <r>
      <rPr>
        <sz val="11"/>
        <color rgb="FF253041"/>
        <rFont val="細明體"/>
        <family val="2"/>
      </rPr>
      <t>小酩</t>
    </r>
    <r>
      <rPr>
        <sz val="11"/>
        <color rgb="FF253041"/>
        <rFont val="Arial"/>
        <family val="2"/>
      </rPr>
      <t>sake bar (</t>
    </r>
    <r>
      <rPr>
        <sz val="11"/>
        <color rgb="FF253041"/>
        <rFont val="Microsoft JhengHei"/>
        <family val="2"/>
      </rPr>
      <t>台北大安區</t>
    </r>
    <r>
      <rPr>
        <sz val="11"/>
        <color rgb="FF253041"/>
        <rFont val="Arial"/>
        <family val="2"/>
      </rPr>
      <t>)</t>
    </r>
    <phoneticPr fontId="20" type="noConversion"/>
  </si>
  <si>
    <r>
      <t>小酩</t>
    </r>
    <r>
      <rPr>
        <sz val="11"/>
        <color rgb="FF253041"/>
        <rFont val="Arial"/>
        <family val="2"/>
      </rPr>
      <t>sake bar</t>
    </r>
  </si>
  <si>
    <r>
      <t>2026.03</t>
    </r>
    <r>
      <rPr>
        <sz val="11"/>
        <color rgb="FF253041"/>
        <rFont val="Microsoft JhengHei"/>
        <family val="2"/>
      </rPr>
      <t>月</t>
    </r>
    <phoneticPr fontId="20" type="noConversion"/>
  </si>
  <si>
    <t>2026.03.30</t>
    <phoneticPr fontId="20" type="noConversion"/>
  </si>
  <si>
    <r>
      <t>銀海</t>
    </r>
    <r>
      <rPr>
        <sz val="11"/>
        <color rgb="FF253041"/>
        <rFont val="Arial"/>
        <family val="2"/>
      </rPr>
      <t xml:space="preserve"> </t>
    </r>
    <r>
      <rPr>
        <sz val="11"/>
        <color rgb="FF253041"/>
        <rFont val="細明體"/>
        <family val="3"/>
        <charset val="136"/>
      </rPr>
      <t>純米吟醸</t>
    </r>
    <r>
      <rPr>
        <sz val="11"/>
        <color rgb="FF253041"/>
        <rFont val="Arial"/>
        <family val="2"/>
      </rPr>
      <t xml:space="preserve"> </t>
    </r>
    <r>
      <rPr>
        <sz val="11"/>
        <color rgb="FF253041"/>
        <rFont val="細明體"/>
        <family val="3"/>
        <charset val="136"/>
      </rPr>
      <t>無濾過生原酒</t>
    </r>
  </si>
  <si>
    <t>2026.08.30</t>
    <phoneticPr fontId="20" type="noConversion"/>
  </si>
  <si>
    <t>內用開瓶</t>
    <phoneticPr fontId="20" type="noConversion"/>
  </si>
  <si>
    <r>
      <t>2026.09</t>
    </r>
    <r>
      <rPr>
        <sz val="11"/>
        <color rgb="FF253041"/>
        <rFont val="Microsoft JhengHei"/>
        <family val="2"/>
      </rPr>
      <t>月</t>
    </r>
    <phoneticPr fontId="20" type="noConversion"/>
  </si>
  <si>
    <t>2026.09.04</t>
    <phoneticPr fontId="20" type="noConversion"/>
  </si>
  <si>
    <t>2025.10.30</t>
    <phoneticPr fontId="20" type="noConversion"/>
  </si>
  <si>
    <t>暢飲活動</t>
    <phoneticPr fontId="20" type="noConversion"/>
  </si>
  <si>
    <t>2026.05.08</t>
    <phoneticPr fontId="20" type="noConversion"/>
  </si>
  <si>
    <t>2026.06.03</t>
    <phoneticPr fontId="20" type="noConversion"/>
  </si>
  <si>
    <t>S0206</t>
  </si>
  <si>
    <t>T00205</t>
    <phoneticPr fontId="20" type="noConversion"/>
  </si>
  <si>
    <t>2026.09.18</t>
    <phoneticPr fontId="20" type="noConversion"/>
  </si>
  <si>
    <t>外帶</t>
    <phoneticPr fontId="20" type="noConversion"/>
  </si>
  <si>
    <t>2026.09.22</t>
    <phoneticPr fontId="20" type="noConversion"/>
  </si>
  <si>
    <r>
      <t>2026.10</t>
    </r>
    <r>
      <rPr>
        <sz val="11"/>
        <color rgb="FF253041"/>
        <rFont val="Microsoft JhengHei"/>
        <family val="2"/>
      </rPr>
      <t>月</t>
    </r>
    <phoneticPr fontId="20" type="noConversion"/>
  </si>
  <si>
    <t>乳酸飲料、香蕉、熱帶水果</t>
    <phoneticPr fontId="20" type="noConversion"/>
  </si>
  <si>
    <t>微氣泡、乳酸、鳳梨、尾韻微苦</t>
    <phoneticPr fontId="20" type="noConversion"/>
  </si>
  <si>
    <t>微微柑橘氣味、香瓜</t>
    <phoneticPr fontId="20" type="noConversion"/>
  </si>
  <si>
    <t>微氣泡、可爾必思、酸度柔和、尾韻微苦</t>
    <phoneticPr fontId="20" type="noConversion"/>
  </si>
  <si>
    <t>輕快與豐潤的口感多汁且爽口，微濁酒可以喝到一半在搖晃混合，口感更為圓潤</t>
    <phoneticPr fontId="20" type="noConversion"/>
  </si>
  <si>
    <t>清爽的酸度配上氣泡，未過濾未殺菌清酒特有的多汁口感，但並不厚重</t>
    <phoneticPr fontId="20" type="noConversion"/>
  </si>
  <si>
    <t>NIHONSHU Sake Space</t>
  </si>
  <si>
    <t>試飲</t>
  </si>
  <si>
    <r>
      <t>亞麻貓</t>
    </r>
    <r>
      <rPr>
        <sz val="11"/>
        <rFont val="Carlito"/>
      </rPr>
      <t xml:space="preserve"> sparkling</t>
    </r>
  </si>
  <si>
    <r>
      <rPr>
        <sz val="11"/>
        <color rgb="FF253041"/>
        <rFont val="微軟正黑體"/>
        <family val="2"/>
        <charset val="136"/>
      </rPr>
      <t>清酒</t>
    </r>
    <r>
      <rPr>
        <sz val="11"/>
        <color rgb="FF253041"/>
        <rFont val="Arial"/>
        <family val="2"/>
      </rPr>
      <t>Omakase</t>
    </r>
    <r>
      <rPr>
        <sz val="11"/>
        <color rgb="FF253041"/>
        <rFont val="微軟正黑體"/>
        <family val="2"/>
        <charset val="136"/>
      </rPr>
      <t>套餐</t>
    </r>
    <r>
      <rPr>
        <sz val="11"/>
        <color rgb="FF253041"/>
        <rFont val="Arial"/>
        <family val="2"/>
      </rPr>
      <t xml:space="preserve"> 8</t>
    </r>
    <r>
      <rPr>
        <sz val="11"/>
        <color rgb="FF253041"/>
        <rFont val="微軟正黑體"/>
        <family val="2"/>
        <charset val="136"/>
      </rPr>
      <t>杯</t>
    </r>
    <r>
      <rPr>
        <sz val="11"/>
        <color rgb="FF253041"/>
        <rFont val="Arial"/>
        <family val="2"/>
      </rPr>
      <t xml:space="preserve"> </t>
    </r>
    <phoneticPr fontId="20" type="noConversion"/>
  </si>
  <si>
    <t>暢飲活動招待</t>
    <phoneticPr fontId="20" type="noConversion"/>
  </si>
  <si>
    <t>水梨系果香，帶些白桃般的柔和感</t>
    <phoneticPr fontId="20" type="noConversion"/>
  </si>
  <si>
    <t>冰飲時酒體輕盈，果酸與微氣泡明顯</t>
    <phoneticPr fontId="20" type="noConversion"/>
  </si>
  <si>
    <t>冰飲時酒體輕盈，有點葡萄柚的酸度與微氣泡明顯</t>
    <phoneticPr fontId="20" type="noConversion"/>
  </si>
  <si>
    <t>水梨系果香，微微白桃般的柔和感，微微的木桶味</t>
    <phoneticPr fontId="20" type="noConversion"/>
  </si>
  <si>
    <t>入口酒精感偏突出；回溫後甜感上升，表現比神宴一農更好，酒精感相對弱化，尾段帶些微苦味。</t>
    <phoneticPr fontId="20" type="noConversion"/>
  </si>
  <si>
    <t>入口酒精感偏突出；回溫後甜感上升，酒精感相對弱化，尾段帶些微苦味。</t>
    <phoneticPr fontId="20" type="noConversion"/>
  </si>
  <si>
    <t>入口圓潤酒體厚實、糖蜜、微氣泡</t>
    <phoneticPr fontId="20" type="noConversion"/>
  </si>
  <si>
    <t>口感鮮活、氣泡稍強、酸甜俐落</t>
    <phoneticPr fontId="20" type="noConversion"/>
  </si>
  <si>
    <t>乳酸、果酸、水梨、哈密瓜、穀物、淡淡木質味</t>
    <phoneticPr fontId="20" type="noConversion"/>
  </si>
  <si>
    <t>優格、水梨、哈密瓜、香草，微微米香</t>
    <phoneticPr fontId="20" type="noConversion"/>
  </si>
  <si>
    <t>乳酸、哈密瓜、水梨、穀物，糖蜜</t>
    <phoneticPr fontId="20" type="noConversion"/>
  </si>
  <si>
    <t>四者裡最豐滿。細緻氣泡＋滑順、絲綢感，旨味、甜味、萃取感都高，酸、微苦、微澀把輪廓收住</t>
    <phoneticPr fontId="20" type="noConversion"/>
  </si>
  <si>
    <t>口感鮮活、氣泡稍強、酸甜俐落，有一個鮮味、味道更飽滿</t>
    <phoneticPr fontId="20" type="noConversion"/>
  </si>
  <si>
    <t>口感鮮活、氣泡稍強、酸甜俐落、果汁感</t>
    <phoneticPr fontId="20" type="noConversion"/>
  </si>
  <si>
    <t>口感鮮活、氣泡稍強、酸甜俐落、礦物感</t>
    <phoneticPr fontId="20" type="noConversion"/>
  </si>
  <si>
    <t>入口圓潤、微氣泡、酒體稍厚、果汁感、木質味</t>
    <phoneticPr fontId="20" type="noConversion"/>
  </si>
  <si>
    <t>入口圓潤、微氣泡、酒體稍厚、礦物感、木質味</t>
    <phoneticPr fontId="20" type="noConversion"/>
  </si>
  <si>
    <t>清新蜜瓜、乳酸、穀物野性調</t>
  </si>
  <si>
    <t>蜜瓜、柑橘、乳酸、木質</t>
  </si>
  <si>
    <t>蜜瓜、乳酸、木質，蜜瓜奶油蘇打</t>
    <phoneticPr fontId="20" type="noConversion"/>
  </si>
  <si>
    <t>水梨、乳酸香、淡香蕉調</t>
    <phoneticPr fontId="20" type="noConversion"/>
  </si>
  <si>
    <t>細緻氣泡、輕盈清爽，帶柔滑微稠質地；旨味、甜味柔和，果酸明亮，尾段微苦</t>
    <phoneticPr fontId="20" type="noConversion"/>
  </si>
  <si>
    <t>強氣泡、輕快清澈、礦物感、乾淨旨甜、俐落酸、微苦</t>
    <phoneticPr fontId="20" type="noConversion"/>
  </si>
  <si>
    <t>強氣泡，比起四農增穗口感多了更多鮮味，非常甜美但不死甜</t>
    <phoneticPr fontId="20" type="noConversion"/>
  </si>
  <si>
    <t>細緻氣泡、濃厚旨甜、微稠、礦物與萃取感、高酸微澀、柔順且具野性複雜度</t>
    <phoneticPr fontId="20" type="noConversion"/>
  </si>
  <si>
    <t>細緻氣泡、旨味厚實、高酸、微澀、吞嚥下去木桶香氣會返回</t>
    <phoneticPr fontId="20" type="noConversion"/>
  </si>
  <si>
    <t>細緻氣泡，中段有柔和的旨味、甜味與穀物感；質地細緻、不會像七農那麼厚</t>
    <phoneticPr fontId="20" type="noConversion"/>
  </si>
  <si>
    <t>強氣泡，輕快但帶一點奶油般的柔軟感；米旨味、甜味與些許黏稠感，酸度俐落</t>
    <phoneticPr fontId="20" type="noConversion"/>
  </si>
  <si>
    <t>口感鮮活、氣泡稍強、果酸明亮、尾段微苦</t>
    <phoneticPr fontId="20" type="noConversion"/>
  </si>
  <si>
    <t>紅蘋果、果香濃郁、酸甜果香、細緻、米香</t>
    <phoneticPr fontId="20" type="noConversion"/>
  </si>
  <si>
    <t>新鮮果香、白桃、哈密瓜</t>
    <phoneticPr fontId="20" type="noConversion"/>
  </si>
  <si>
    <t>開瓶微氣泡、細膩、酸度清爽</t>
    <phoneticPr fontId="20" type="noConversion"/>
  </si>
  <si>
    <r>
      <t>細膩、甘甜</t>
    </r>
    <r>
      <rPr>
        <sz val="11"/>
        <color rgb="FF253041"/>
        <rFont val="細明體"/>
        <family val="2"/>
        <charset val="136"/>
      </rPr>
      <t>、</t>
    </r>
    <r>
      <rPr>
        <sz val="11"/>
        <color rgb="FF253041"/>
        <rFont val="細明體"/>
        <family val="3"/>
        <charset val="136"/>
      </rPr>
      <t>甜感持久</t>
    </r>
    <r>
      <rPr>
        <sz val="11"/>
        <color rgb="FF253041"/>
        <rFont val="細明體"/>
        <family val="2"/>
        <charset val="136"/>
      </rPr>
      <t>、</t>
    </r>
    <r>
      <rPr>
        <sz val="11"/>
        <color rgb="FF253041"/>
        <rFont val="細明體"/>
        <family val="3"/>
        <charset val="136"/>
      </rPr>
      <t>乾淨</t>
    </r>
    <r>
      <rPr>
        <sz val="11"/>
        <color rgb="FF253041"/>
        <rFont val="細明體"/>
        <family val="2"/>
        <charset val="136"/>
      </rPr>
      <t>、</t>
    </r>
    <r>
      <rPr>
        <sz val="11"/>
        <color rgb="FF253041"/>
        <rFont val="細明體"/>
        <family val="3"/>
        <charset val="136"/>
      </rPr>
      <t>不黏膩</t>
    </r>
    <phoneticPr fontId="20" type="noConversion"/>
  </si>
  <si>
    <t>新鮮果香、水梨</t>
    <phoneticPr fontId="20" type="noConversion"/>
  </si>
  <si>
    <t>高級哈密瓜、溫潤的甜感、收尾俐落</t>
    <phoneticPr fontId="20" type="noConversion"/>
  </si>
  <si>
    <t>高雅精緻的高級哈密瓜或和三溫糖般的甜美與鮮味，入喉順滑，收尾利落。</t>
    <phoneticPr fontId="20" type="noConversion"/>
  </si>
  <si>
    <t>西洋梨、香瓜、微微麝香葡萄</t>
    <phoneticPr fontId="20" type="noConversion"/>
  </si>
  <si>
    <t>酒體厚重、細膩、甘甜、甜感持久、乾淨</t>
    <phoneticPr fontId="20" type="noConversion"/>
  </si>
  <si>
    <r>
      <rPr>
        <sz val="11"/>
        <color rgb="FF253041"/>
        <rFont val="細明體"/>
        <family val="2"/>
        <charset val="136"/>
      </rPr>
      <t>甜瓜和麝香葡萄的完美融合。</t>
    </r>
    <r>
      <rPr>
        <sz val="11"/>
        <color rgb="FF253041"/>
        <rFont val="Arial"/>
        <family val="2"/>
      </rPr>
      <t xml:space="preserve"> </t>
    </r>
    <r>
      <rPr>
        <sz val="11"/>
        <color rgb="FF253041"/>
        <rFont val="細明體"/>
        <family val="2"/>
        <charset val="136"/>
      </rPr>
      <t>入口多汁、甜美、濃郁。</t>
    </r>
    <r>
      <rPr>
        <sz val="11"/>
        <color rgb="FF253041"/>
        <rFont val="Arial"/>
        <family val="2"/>
      </rPr>
      <t xml:space="preserve">
</t>
    </r>
    <r>
      <rPr>
        <sz val="11"/>
        <color rgb="FF253041"/>
        <rFont val="細明體"/>
        <family val="2"/>
        <charset val="136"/>
      </rPr>
      <t>適中的酸度使整體口感不會被甜美給壓過去更加輕盈。</t>
    </r>
    <r>
      <rPr>
        <sz val="11"/>
        <color rgb="FF253041"/>
        <rFont val="Arial"/>
        <family val="2"/>
      </rPr>
      <t xml:space="preserve"> </t>
    </r>
    <r>
      <rPr>
        <sz val="11"/>
        <color rgb="FF253041"/>
        <rFont val="細明體"/>
        <family val="2"/>
        <charset val="136"/>
      </rPr>
      <t>餘韻清爽，甜味持久。</t>
    </r>
    <phoneticPr fontId="20" type="noConversion"/>
  </si>
  <si>
    <r>
      <rPr>
        <sz val="11"/>
        <rFont val="微軟正黑體"/>
        <family val="2"/>
        <charset val="136"/>
      </rPr>
      <t>低溫時整體較收斂，與其他十四代的差異不算明顯；稍微回溫至約</t>
    </r>
    <r>
      <rPr>
        <sz val="11"/>
        <rFont val="Arial"/>
        <family val="2"/>
      </rPr>
      <t xml:space="preserve"> 8</t>
    </r>
    <r>
      <rPr>
        <sz val="11"/>
        <rFont val="Carlito"/>
        <family val="2"/>
        <charset val="136"/>
      </rPr>
      <t>–</t>
    </r>
    <r>
      <rPr>
        <sz val="11"/>
        <rFont val="Arial"/>
        <family val="2"/>
      </rPr>
      <t>10</t>
    </r>
    <r>
      <rPr>
        <sz val="11"/>
        <rFont val="Carlito"/>
        <family val="2"/>
        <charset val="136"/>
      </rPr>
      <t>°</t>
    </r>
    <r>
      <rPr>
        <sz val="11"/>
        <rFont val="Arial"/>
        <family val="2"/>
      </rPr>
      <t xml:space="preserve">C </t>
    </r>
    <r>
      <rPr>
        <sz val="11"/>
        <rFont val="微軟正黑體"/>
        <family val="2"/>
        <charset val="136"/>
      </rPr>
      <t>後表現最佳，香氣明顯展開，甜感與口中香氣的延續性都非常突出。另嘗試約</t>
    </r>
    <r>
      <rPr>
        <sz val="11"/>
        <rFont val="Arial"/>
        <family val="2"/>
      </rPr>
      <t xml:space="preserve"> 45</t>
    </r>
    <r>
      <rPr>
        <sz val="11"/>
        <rFont val="Carlito"/>
        <family val="2"/>
        <charset val="136"/>
      </rPr>
      <t>–</t>
    </r>
    <r>
      <rPr>
        <sz val="11"/>
        <rFont val="Arial"/>
        <family val="2"/>
      </rPr>
      <t>50</t>
    </r>
    <r>
      <rPr>
        <sz val="11"/>
        <rFont val="Carlito"/>
        <family val="2"/>
        <charset val="136"/>
      </rPr>
      <t>°</t>
    </r>
    <r>
      <rPr>
        <sz val="11"/>
        <rFont val="Arial"/>
        <family val="2"/>
      </rPr>
      <t xml:space="preserve">C </t>
    </r>
    <r>
      <rPr>
        <sz val="11"/>
        <rFont val="微軟正黑體"/>
        <family val="2"/>
        <charset val="136"/>
      </rPr>
      <t>燗酒，酒精感明顯上升、甜感下降，米香則是三種溫度中最強。整體好喝，且不同溫度下風格變化非常明顯。</t>
    </r>
    <phoneticPr fontId="20" type="noConversion"/>
  </si>
  <si>
    <r>
      <rPr>
        <sz val="11"/>
        <color rgb="FF253041"/>
        <rFont val="細明體"/>
        <family val="2"/>
        <charset val="136"/>
      </rPr>
      <t>新鮮果香與甘旨感較突出，</t>
    </r>
    <r>
      <rPr>
        <sz val="11"/>
        <color rgb="FF253041"/>
        <rFont val="Microsoft JhengHei"/>
        <family val="2"/>
      </rPr>
      <t>微氣泡感</t>
    </r>
    <r>
      <rPr>
        <sz val="11"/>
        <color rgb="FF253041"/>
        <rFont val="細明體"/>
        <family val="2"/>
        <charset val="136"/>
      </rPr>
      <t>，不至於只剩甜味帶柔和酸度，入口滑順而有飽滿感；收尾清爽俐落,</t>
    </r>
    <r>
      <rPr>
        <sz val="11"/>
        <color rgb="FF253041"/>
        <rFont val="Microsoft JhengHei"/>
        <family val="2"/>
      </rPr>
      <t>尾韻微苦</t>
    </r>
    <r>
      <rPr>
        <sz val="11"/>
        <color rgb="FF253041"/>
        <rFont val="細明體"/>
        <family val="2"/>
        <charset val="136"/>
      </rPr>
      <t>。</t>
    </r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</si>
</sst>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#"/>
  </numFmts>
  <fonts count="32">
    <font>
      <sz val="11"/>
      <name val="Carlito"/>
    </font>
    <font>
      <sz val="11"/>
      <color rgb="FF253041"/>
      <name val="Arial"/>
      <family val="2"/>
    </font>
    <font>
      <b/>
      <sz val="11"/>
      <color rgb="FFFFFFFF"/>
      <name val="Arial"/>
      <family val="2"/>
    </font>
    <font>
      <b/>
      <sz val="14"/>
      <color rgb="FFFFFFFF"/>
      <name val="Arial"/>
      <family val="2"/>
    </font>
    <font>
      <sz val="11"/>
      <name val="Carlito"/>
    </font>
    <font>
      <sz val="11"/>
      <name val="微軟正黑體"/>
      <family val="2"/>
    </font>
    <font>
      <sz val="11"/>
      <name val="Arial"/>
      <family val="2"/>
    </font>
    <font>
      <sz val="11"/>
      <color rgb="FF253041"/>
      <name val="微軟正黑體"/>
      <family val="2"/>
    </font>
    <font>
      <sz val="11"/>
      <color rgb="FF253041"/>
      <name val="細明體"/>
      <family val="3"/>
    </font>
    <font>
      <sz val="11"/>
      <color rgb="FF253041"/>
      <name val="Microsoft JhengHei"/>
      <family val="2"/>
    </font>
    <font>
      <sz val="11"/>
      <color rgb="FF253041"/>
      <name val="細明體"/>
      <family val="2"/>
    </font>
    <font>
      <sz val="11"/>
      <color rgb="FF253041"/>
      <name val="Microsoft JhengHei"/>
      <family val="2"/>
    </font>
    <font>
      <b/>
      <sz val="11"/>
      <name val="Carlito"/>
    </font>
    <font>
      <sz val="11"/>
      <color rgb="FF253041"/>
      <name val="細明體"/>
      <family val="3"/>
    </font>
    <font>
      <sz val="11"/>
      <color rgb="FF253041"/>
      <name val="Arial"/>
      <family val="2"/>
    </font>
    <font>
      <sz val="11"/>
      <color rgb="FF253041"/>
      <name val="Microsoft JhengHei"/>
      <family val="2"/>
    </font>
    <font>
      <sz val="11"/>
      <name val="細明體"/>
      <family val="3"/>
    </font>
    <font>
      <sz val="11"/>
      <name val="微軟正黑體"/>
      <family val="2"/>
    </font>
    <font>
      <sz val="11"/>
      <color rgb="FF0C1014"/>
      <name val="Segoe UI"/>
      <family val="2"/>
    </font>
    <font>
      <sz val="11"/>
      <name val="Carlito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rlito"/>
      <family val="2"/>
      <charset val="136"/>
    </font>
    <font>
      <sz val="11"/>
      <name val="細明體"/>
      <family val="3"/>
      <charset val="136"/>
    </font>
    <font>
      <sz val="11"/>
      <color rgb="FF253041"/>
      <name val="細明體"/>
      <family val="3"/>
      <charset val="136"/>
    </font>
    <font>
      <sz val="11"/>
      <color rgb="FF253041"/>
      <name val="細明體"/>
      <family val="2"/>
      <charset val="136"/>
    </font>
    <font>
      <sz val="11"/>
      <color rgb="FF253041"/>
      <name val="Arial"/>
      <family val="2"/>
      <charset val="136"/>
    </font>
    <font>
      <sz val="11"/>
      <color rgb="FF253041"/>
      <name val="Microsoft JhengHei"/>
      <family val="2"/>
      <charset val="136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  <charset val="136"/>
    </font>
    <font>
      <sz val="11"/>
      <color rgb="FF253041"/>
      <name val="微軟正黑體"/>
      <family val="2"/>
      <charset val="136"/>
    </font>
    <font>
      <sz val="11"/>
      <color theme="1"/>
      <name val="微軟正黑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263544"/>
      </patternFill>
    </fill>
    <fill>
      <patternFill patternType="solid">
        <fgColor rgb="FFEDF0F4"/>
      </patternFill>
    </fill>
    <fill>
      <patternFill patternType="solid">
        <fgColor theme="0"/>
      </patternFill>
    </fill>
    <fill>
      <patternFill patternType="solid">
        <fgColor rgb="FFEAF0F6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1" fillId="0" borderId="0" xfId="1" applyFont="1" applyAlignment="1">
      <alignment vertical="center"/>
    </xf>
    <xf numFmtId="0" fontId="2" fillId="2" borderId="0" xfId="1" applyFont="1" applyFill="1" applyAlignment="1">
      <alignment horizontal="center" vertical="center" wrapText="1"/>
    </xf>
    <xf numFmtId="0" fontId="1" fillId="0" borderId="0" xfId="1" applyFont="1" applyAlignment="1">
      <alignment vertical="center" wrapText="1"/>
    </xf>
    <xf numFmtId="3" fontId="1" fillId="0" borderId="0" xfId="1" applyNumberFormat="1" applyFont="1" applyAlignment="1">
      <alignment vertical="center"/>
    </xf>
    <xf numFmtId="176" fontId="1" fillId="0" borderId="0" xfId="1" applyNumberFormat="1" applyFont="1" applyAlignment="1">
      <alignment vertical="center"/>
    </xf>
    <xf numFmtId="0" fontId="3" fillId="2" borderId="0" xfId="1" applyFont="1" applyFill="1" applyAlignment="1">
      <alignment vertical="center" wrapText="1"/>
    </xf>
    <xf numFmtId="0" fontId="1" fillId="3" borderId="0" xfId="1" applyFont="1" applyFill="1" applyAlignment="1">
      <alignment vertical="center" wrapText="1"/>
    </xf>
    <xf numFmtId="0" fontId="1" fillId="4" borderId="0" xfId="1" applyFont="1" applyFill="1" applyAlignment="1">
      <alignment horizontal="center" vertical="center"/>
    </xf>
    <xf numFmtId="0" fontId="1" fillId="4" borderId="0" xfId="1" applyFont="1" applyFill="1" applyAlignment="1">
      <alignment horizontal="center" vertical="center" wrapText="1"/>
    </xf>
    <xf numFmtId="3" fontId="1" fillId="4" borderId="0" xfId="1" applyNumberFormat="1" applyFont="1" applyFill="1" applyAlignment="1">
      <alignment horizontal="center" vertical="center"/>
    </xf>
    <xf numFmtId="176" fontId="1" fillId="4" borderId="0" xfId="1" applyNumberFormat="1" applyFont="1" applyFill="1" applyAlignment="1">
      <alignment horizontal="center" vertical="center"/>
    </xf>
    <xf numFmtId="0" fontId="10" fillId="4" borderId="0" xfId="1" applyFont="1" applyFill="1" applyAlignment="1">
      <alignment horizontal="center" vertical="center" wrapText="1"/>
    </xf>
    <xf numFmtId="0" fontId="8" fillId="4" borderId="0" xfId="1" applyFont="1" applyFill="1" applyAlignment="1">
      <alignment horizontal="center" vertical="center" wrapText="1"/>
    </xf>
    <xf numFmtId="0" fontId="11" fillId="4" borderId="0" xfId="1" applyFont="1" applyFill="1" applyAlignment="1">
      <alignment horizontal="center" vertical="center" wrapText="1"/>
    </xf>
    <xf numFmtId="0" fontId="9" fillId="4" borderId="0" xfId="1" applyFont="1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8" fillId="4" borderId="0" xfId="1" applyFont="1" applyFill="1" applyAlignment="1">
      <alignment horizontal="center" vertical="center"/>
    </xf>
    <xf numFmtId="1" fontId="1" fillId="4" borderId="0" xfId="0" applyNumberFormat="1" applyFont="1" applyFill="1" applyAlignment="1">
      <alignment horizontal="center" vertical="center"/>
    </xf>
    <xf numFmtId="1" fontId="1" fillId="0" borderId="0" xfId="0" applyNumberFormat="1" applyFont="1" applyAlignment="1">
      <alignment vertical="center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77" fontId="1" fillId="4" borderId="0" xfId="0" applyNumberFormat="1" applyFont="1" applyFill="1" applyAlignment="1">
      <alignment horizontal="center" vertical="center"/>
    </xf>
    <xf numFmtId="177" fontId="1" fillId="0" borderId="0" xfId="0" applyNumberFormat="1" applyFont="1" applyAlignment="1">
      <alignment vertical="center"/>
    </xf>
    <xf numFmtId="0" fontId="12" fillId="5" borderId="0" xfId="0" applyFont="1" applyFill="1" applyAlignment="1">
      <alignment wrapText="1"/>
    </xf>
    <xf numFmtId="0" fontId="0" fillId="0" borderId="0" xfId="0" applyAlignment="1">
      <alignment wrapText="1"/>
    </xf>
    <xf numFmtId="0" fontId="13" fillId="4" borderId="0" xfId="1" applyFont="1" applyFill="1" applyAlignment="1">
      <alignment horizontal="center" vertical="center"/>
    </xf>
    <xf numFmtId="0" fontId="14" fillId="4" borderId="0" xfId="1" applyFont="1" applyFill="1" applyAlignment="1">
      <alignment horizontal="center" vertical="center"/>
    </xf>
    <xf numFmtId="0" fontId="15" fillId="4" borderId="0" xfId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9" fillId="4" borderId="0" xfId="1" applyFont="1" applyFill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6" fillId="4" borderId="0" xfId="1" applyFont="1" applyFill="1" applyAlignment="1">
      <alignment horizontal="center" vertical="center"/>
    </xf>
    <xf numFmtId="0" fontId="27" fillId="4" borderId="0" xfId="1" applyFont="1" applyFill="1" applyAlignment="1">
      <alignment horizontal="center" vertical="center" wrapText="1"/>
    </xf>
    <xf numFmtId="0" fontId="1" fillId="6" borderId="0" xfId="1" applyFont="1" applyFill="1" applyAlignment="1">
      <alignment vertical="center"/>
    </xf>
    <xf numFmtId="0" fontId="27" fillId="4" borderId="0" xfId="1" applyFont="1" applyFill="1" applyAlignment="1">
      <alignment horizontal="center" vertical="center"/>
    </xf>
    <xf numFmtId="0" fontId="29" fillId="2" borderId="0" xfId="1" applyFont="1" applyFill="1" applyAlignment="1">
      <alignment horizontal="center" vertical="center" wrapText="1"/>
    </xf>
    <xf numFmtId="0" fontId="25" fillId="4" borderId="0" xfId="1" applyFont="1" applyFill="1" applyAlignment="1">
      <alignment horizontal="center" vertical="center"/>
    </xf>
    <xf numFmtId="0" fontId="24" fillId="4" borderId="0" xfId="1" applyFont="1" applyFill="1" applyAlignment="1">
      <alignment horizontal="center" vertical="center" wrapText="1"/>
    </xf>
    <xf numFmtId="0" fontId="24" fillId="4" borderId="0" xfId="1" applyFont="1" applyFill="1" applyAlignment="1">
      <alignment horizontal="center" vertical="center"/>
    </xf>
    <xf numFmtId="0" fontId="30" fillId="4" borderId="0" xfId="1" applyFont="1" applyFill="1" applyAlignment="1">
      <alignment horizontal="center" vertical="center" wrapText="1"/>
    </xf>
    <xf numFmtId="0" fontId="1" fillId="6" borderId="0" xfId="1" applyFont="1" applyFill="1" applyAlignment="1">
      <alignment horizontal="center" vertical="center"/>
    </xf>
    <xf numFmtId="0" fontId="15" fillId="6" borderId="0" xfId="1" applyFont="1" applyFill="1" applyAlignment="1">
      <alignment horizontal="center" vertical="center" wrapText="1"/>
    </xf>
    <xf numFmtId="0" fontId="1" fillId="6" borderId="0" xfId="1" applyFont="1" applyFill="1" applyAlignment="1">
      <alignment horizontal="center" vertical="center" wrapText="1"/>
    </xf>
    <xf numFmtId="177" fontId="1" fillId="6" borderId="0" xfId="0" applyNumberFormat="1" applyFont="1" applyFill="1" applyAlignment="1">
      <alignment horizontal="center" vertical="center"/>
    </xf>
    <xf numFmtId="3" fontId="1" fillId="6" borderId="0" xfId="1" applyNumberFormat="1" applyFont="1" applyFill="1" applyAlignment="1">
      <alignment horizontal="center" vertical="center"/>
    </xf>
    <xf numFmtId="1" fontId="1" fillId="6" borderId="0" xfId="0" applyNumberFormat="1" applyFont="1" applyFill="1" applyAlignment="1">
      <alignment horizontal="center" vertical="center"/>
    </xf>
    <xf numFmtId="176" fontId="1" fillId="6" borderId="0" xfId="1" applyNumberFormat="1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9" fillId="6" borderId="0" xfId="1" applyFont="1" applyFill="1" applyAlignment="1">
      <alignment horizontal="center" vertical="center" wrapText="1"/>
    </xf>
    <xf numFmtId="0" fontId="26" fillId="4" borderId="0" xfId="1" applyFont="1" applyFill="1" applyAlignment="1">
      <alignment horizontal="center" vertical="center" wrapText="1"/>
    </xf>
    <xf numFmtId="0" fontId="30" fillId="4" borderId="0" xfId="1" applyFont="1" applyFill="1" applyAlignment="1">
      <alignment horizontal="center" vertical="center"/>
    </xf>
    <xf numFmtId="0" fontId="31" fillId="6" borderId="0" xfId="0" applyFont="1" applyFill="1" applyAlignment="1">
      <alignment horizontal="center" vertical="center"/>
    </xf>
    <xf numFmtId="0" fontId="21" fillId="6" borderId="0" xfId="0" applyFont="1" applyFill="1" applyAlignment="1">
      <alignment horizontal="center" vertical="center"/>
    </xf>
    <xf numFmtId="0" fontId="22" fillId="6" borderId="0" xfId="0" applyFont="1" applyFill="1" applyAlignment="1">
      <alignment horizontal="center" vertical="center"/>
    </xf>
  </cellXfs>
  <cellStyles count="2">
    <cellStyle name="Normal" xfId="1" xr:uid="{00000000-0005-0000-0000-000000000000}"/>
    <cellStyle name="一般" xfId="0" builtinId="0"/>
  </cellStyles>
  <dxfs count="3">
    <dxf>
      <font>
        <color rgb="FF9B1C1C"/>
      </font>
      <fill>
        <patternFill>
          <bgColor rgb="FFFDE8E8"/>
        </patternFill>
      </fill>
    </dxf>
    <dxf>
      <font>
        <color rgb="FF9B1C1C"/>
      </font>
      <fill>
        <patternFill>
          <bgColor rgb="FFFDE8E8"/>
        </patternFill>
      </fill>
    </dxf>
    <dxf>
      <font>
        <b/>
        <color rgb="FF9B1C1C"/>
      </font>
      <fill>
        <patternFill>
          <bgColor rgb="FFFDE8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SakesV5" displayName="SakesV5" ref="A1:K213" totalsRowShown="0">
  <tableColumns count="11">
    <tableColumn id="1" xr3:uid="{00000000-0010-0000-0000-000001000000}" name="酒款ID"/>
    <tableColumn id="2" xr3:uid="{00000000-0010-0000-0000-000002000000}" name="銘柄"/>
    <tableColumn id="3" xr3:uid="{00000000-0010-0000-0000-000003000000}" name="酒款"/>
    <tableColumn id="4" xr3:uid="{00000000-0010-0000-0000-000004000000}" name="酒造"/>
    <tableColumn id="5" xr3:uid="{00000000-0010-0000-0000-000005000000}" name="地區"/>
    <tableColumn id="6" xr3:uid="{00000000-0010-0000-0000-000006000000}" name="酒種"/>
    <tableColumn id="7" xr3:uid="{00000000-0010-0000-0000-000007000000}" name="酒米"/>
    <tableColumn id="8" xr3:uid="{00000000-0010-0000-0000-000008000000}" name="精米步合"/>
    <tableColumn id="9" xr3:uid="{00000000-0010-0000-0000-000009000000}" name="酒造年度"/>
    <tableColumn id="10" xr3:uid="{00000000-0010-0000-0000-00000A000000}" name="製造年月"/>
    <tableColumn id="11" xr3:uid="{00000000-0010-0000-0000-00000B000000}" name="備註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stingsV5" displayName="TastingsV5" ref="A1:AA206" totalsRowShown="0">
  <autoFilter ref="A1:AA206" xr:uid="{00000000-0009-0000-0100-000005000000}"/>
  <tableColumns count="27">
    <tableColumn id="1" xr3:uid="{00000000-0010-0000-0100-000001000000}" name="品飲ID"/>
    <tableColumn id="2" xr3:uid="{00000000-0010-0000-0100-000002000000}" name="酒款ID"/>
    <tableColumn id="3" xr3:uid="{00000000-0010-0000-0100-000003000000}" name="銘柄（自動）"/>
    <tableColumn id="4" xr3:uid="{00000000-0010-0000-0100-000004000000}" name="酒款（自動）"/>
    <tableColumn id="5" xr3:uid="{00000000-0010-0000-0100-000005000000}" name="品飲日期"/>
    <tableColumn id="6" xr3:uid="{00000000-0010-0000-0100-000006000000}" name="品飲方式"/>
    <tableColumn id="7" xr3:uid="{00000000-0010-0000-0100-000007000000}" name="取得方式"/>
    <tableColumn id="8" xr3:uid="{00000000-0010-0000-0100-000008000000}" name="品飲地點"/>
    <tableColumn id="9" xr3:uid="{00000000-0010-0000-0100-000009000000}" name="品飲紀錄"/>
    <tableColumn id="10" xr3:uid="{00000000-0010-0000-0100-00000A000000}" name="喜歡程度（1～5分）"/>
    <tableColumn id="11" xr3:uid="{00000000-0010-0000-0100-00000B000000}" name="再喝意願（1～5分）"/>
    <tableColumn id="13" xr3:uid="{00000000-0010-0000-0100-00000D000000}" name="單杯容量（ml）"/>
    <tableColumn id="14" xr3:uid="{00000000-0010-0000-0100-00000E000000}" name="瓶裝容量（ml）"/>
    <tableColumn id="15" xr3:uid="{00000000-0010-0000-0100-00000F000000}" name="購入店家／來源"/>
    <tableColumn id="16" xr3:uid="{00000000-0010-0000-0100-000010000000}" name="購入日期"/>
    <tableColumn id="17" xr3:uid="{00000000-0010-0000-0100-000011000000}" name="價格"/>
    <tableColumn id="18" xr3:uid="{00000000-0010-0000-0100-000012000000}" name="幣別"/>
    <tableColumn id="19" xr3:uid="{00000000-0010-0000-0100-000013000000}" name="計價單位"/>
    <tableColumn id="20" xr3:uid="{00000000-0010-0000-0100-000014000000}" name="價格說明"/>
    <tableColumn id="21" xr3:uid="{00000000-0010-0000-0100-000015000000}" name="香氣標籤"/>
    <tableColumn id="22" xr3:uid="{00000000-0010-0000-0100-000016000000}" name="口感標籤"/>
    <tableColumn id="23" xr3:uid="{00000000-0010-0000-0100-000017000000}" name="品飲照片"/>
    <tableColumn id="24" xr3:uid="{00000000-0010-0000-0100-000018000000}" name="同瓶編號"/>
    <tableColumn id="27" xr3:uid="{00000000-0010-0000-0100-00001B000000}" name="開瓶日期"/>
    <tableColumn id="28" xr3:uid="{00000000-0010-0000-0100-00001C000000}" name="開瓶後變化"/>
    <tableColumn id="29" xr3:uid="{00000000-0010-0000-0100-00001D000000}" name="價格公開"/>
    <tableColumn id="30" xr3:uid="{00000000-0010-0000-0100-00001E000000}" name="備註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8"/>
  <sheetViews>
    <sheetView showGridLines="0" workbookViewId="0">
      <pane xSplit="3" ySplit="1" topLeftCell="D123" activePane="bottomRight" state="frozen"/>
      <selection pane="topRight"/>
      <selection pane="bottomLeft"/>
      <selection pane="bottomRight" activeCell="I133" sqref="I133"/>
    </sheetView>
  </sheetViews>
  <sheetFormatPr defaultRowHeight="14.25"/>
  <cols>
    <col min="1" max="1" width="14" customWidth="1"/>
    <col min="2" max="2" width="28.125" customWidth="1"/>
    <col min="3" max="3" width="52.625" customWidth="1"/>
    <col min="4" max="4" width="46.375" customWidth="1"/>
    <col min="5" max="5" width="16.125" customWidth="1"/>
    <col min="6" max="6" width="23" customWidth="1"/>
    <col min="7" max="7" width="40" customWidth="1"/>
    <col min="8" max="10" width="16" customWidth="1"/>
    <col min="11" max="11" width="75" customWidth="1"/>
  </cols>
  <sheetData>
    <row r="1" spans="1:11" ht="32.1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1120</v>
      </c>
      <c r="K1" s="25" t="s">
        <v>9</v>
      </c>
    </row>
    <row r="2" spans="1:11" ht="36" customHeight="1">
      <c r="A2" s="29" t="s">
        <v>10</v>
      </c>
      <c r="B2" s="29" t="s">
        <v>11</v>
      </c>
      <c r="C2" s="29" t="s">
        <v>12</v>
      </c>
      <c r="D2" s="29" t="s">
        <v>13</v>
      </c>
      <c r="E2" s="29" t="s">
        <v>14</v>
      </c>
      <c r="F2" s="30" t="s">
        <v>15</v>
      </c>
      <c r="G2" s="30" t="s">
        <v>16</v>
      </c>
      <c r="H2" s="31">
        <v>0.35</v>
      </c>
      <c r="I2" s="30"/>
      <c r="J2" s="30"/>
      <c r="K2" s="30"/>
    </row>
    <row r="3" spans="1:11" ht="48" customHeight="1">
      <c r="A3" s="29" t="s">
        <v>17</v>
      </c>
      <c r="B3" s="29" t="s">
        <v>11</v>
      </c>
      <c r="C3" s="29" t="s">
        <v>18</v>
      </c>
      <c r="D3" s="29" t="s">
        <v>13</v>
      </c>
      <c r="E3" s="29" t="s">
        <v>14</v>
      </c>
      <c r="F3" s="30" t="s">
        <v>19</v>
      </c>
      <c r="G3" s="30" t="s">
        <v>20</v>
      </c>
      <c r="H3" s="31">
        <v>0.5</v>
      </c>
      <c r="I3" s="30"/>
      <c r="J3" s="30"/>
      <c r="K3" s="30"/>
    </row>
    <row r="4" spans="1:11" ht="36" customHeight="1">
      <c r="A4" s="29" t="s">
        <v>21</v>
      </c>
      <c r="B4" s="29" t="s">
        <v>11</v>
      </c>
      <c r="C4" s="29" t="s">
        <v>22</v>
      </c>
      <c r="D4" s="29" t="s">
        <v>13</v>
      </c>
      <c r="E4" s="29" t="s">
        <v>14</v>
      </c>
      <c r="F4" s="30" t="s">
        <v>15</v>
      </c>
      <c r="G4" s="30" t="s">
        <v>23</v>
      </c>
      <c r="H4" s="31">
        <v>0.45</v>
      </c>
      <c r="I4" s="30"/>
      <c r="J4" s="30" t="s">
        <v>1148</v>
      </c>
      <c r="K4" s="30"/>
    </row>
    <row r="5" spans="1:11" ht="36" customHeight="1">
      <c r="A5" s="29" t="s">
        <v>24</v>
      </c>
      <c r="B5" s="29" t="s">
        <v>11</v>
      </c>
      <c r="C5" s="29" t="s">
        <v>25</v>
      </c>
      <c r="D5" s="29" t="s">
        <v>13</v>
      </c>
      <c r="E5" s="29" t="s">
        <v>14</v>
      </c>
      <c r="F5" s="30" t="s">
        <v>15</v>
      </c>
      <c r="G5" s="30" t="s">
        <v>26</v>
      </c>
      <c r="H5" s="31">
        <v>0.4</v>
      </c>
      <c r="J5" s="30">
        <v>2026</v>
      </c>
      <c r="K5" s="30"/>
    </row>
    <row r="6" spans="1:11" ht="36" customHeight="1">
      <c r="A6" s="29" t="s">
        <v>27</v>
      </c>
      <c r="B6" s="29" t="s">
        <v>11</v>
      </c>
      <c r="C6" s="29" t="s">
        <v>28</v>
      </c>
      <c r="D6" s="29" t="s">
        <v>13</v>
      </c>
      <c r="E6" s="29" t="s">
        <v>14</v>
      </c>
      <c r="F6" s="30" t="s">
        <v>15</v>
      </c>
      <c r="G6" s="30" t="s">
        <v>23</v>
      </c>
      <c r="H6" s="31">
        <v>0.35</v>
      </c>
      <c r="I6" s="30"/>
      <c r="J6" s="30"/>
      <c r="K6" s="30"/>
    </row>
    <row r="7" spans="1:11" ht="36" customHeight="1">
      <c r="A7" s="29" t="s">
        <v>29</v>
      </c>
      <c r="B7" s="29" t="s">
        <v>30</v>
      </c>
      <c r="C7" s="43" t="s">
        <v>1217</v>
      </c>
      <c r="D7" s="29" t="s">
        <v>31</v>
      </c>
      <c r="E7" s="29" t="s">
        <v>32</v>
      </c>
      <c r="F7" s="30" t="s">
        <v>33</v>
      </c>
      <c r="G7" s="30" t="s">
        <v>34</v>
      </c>
      <c r="H7" s="30"/>
      <c r="I7" s="30"/>
      <c r="J7" s="30"/>
      <c r="K7" s="30"/>
    </row>
    <row r="8" spans="1:11" ht="36" customHeight="1">
      <c r="A8" s="29" t="s">
        <v>35</v>
      </c>
      <c r="B8" s="29" t="s">
        <v>36</v>
      </c>
      <c r="C8" s="29" t="s">
        <v>37</v>
      </c>
      <c r="D8" s="29" t="s">
        <v>31</v>
      </c>
      <c r="E8" s="29" t="s">
        <v>32</v>
      </c>
      <c r="F8" s="30" t="s">
        <v>33</v>
      </c>
      <c r="G8" s="30"/>
      <c r="H8" s="30"/>
      <c r="I8" s="30"/>
      <c r="J8" s="30"/>
      <c r="K8" s="30"/>
    </row>
    <row r="9" spans="1:11" ht="36" customHeight="1">
      <c r="A9" s="29" t="s">
        <v>38</v>
      </c>
      <c r="B9" s="29" t="s">
        <v>39</v>
      </c>
      <c r="C9" s="29" t="s">
        <v>40</v>
      </c>
      <c r="D9" s="29" t="s">
        <v>31</v>
      </c>
      <c r="E9" s="29" t="s">
        <v>32</v>
      </c>
      <c r="F9" s="30" t="s">
        <v>33</v>
      </c>
      <c r="G9" s="30" t="s">
        <v>34</v>
      </c>
      <c r="H9" s="30"/>
      <c r="I9" s="30"/>
      <c r="J9" s="30"/>
      <c r="K9" s="30"/>
    </row>
    <row r="10" spans="1:11" ht="36" customHeight="1">
      <c r="A10" s="29" t="s">
        <v>41</v>
      </c>
      <c r="B10" s="29" t="s">
        <v>36</v>
      </c>
      <c r="C10" s="29" t="s">
        <v>42</v>
      </c>
      <c r="D10" s="29" t="s">
        <v>31</v>
      </c>
      <c r="E10" s="29" t="s">
        <v>32</v>
      </c>
      <c r="F10" s="30" t="s">
        <v>33</v>
      </c>
      <c r="G10" s="30"/>
      <c r="H10" s="31">
        <v>0.66</v>
      </c>
      <c r="I10" s="30"/>
      <c r="J10" s="30"/>
      <c r="K10" s="30"/>
    </row>
    <row r="11" spans="1:11" ht="36" customHeight="1">
      <c r="A11" s="29" t="s">
        <v>43</v>
      </c>
      <c r="B11" s="29" t="s">
        <v>44</v>
      </c>
      <c r="C11" s="29" t="s">
        <v>45</v>
      </c>
      <c r="D11" s="29" t="s">
        <v>46</v>
      </c>
      <c r="E11" s="29" t="s">
        <v>47</v>
      </c>
      <c r="F11" s="30" t="s">
        <v>19</v>
      </c>
      <c r="G11" s="30" t="s">
        <v>48</v>
      </c>
      <c r="H11" s="30"/>
      <c r="I11" s="30"/>
      <c r="J11" s="30"/>
      <c r="K11" s="30"/>
    </row>
    <row r="12" spans="1:11" ht="36" customHeight="1">
      <c r="A12" s="29" t="s">
        <v>49</v>
      </c>
      <c r="B12" s="29" t="s">
        <v>44</v>
      </c>
      <c r="C12" s="29" t="s">
        <v>50</v>
      </c>
      <c r="D12" s="29" t="s">
        <v>46</v>
      </c>
      <c r="E12" s="29" t="s">
        <v>47</v>
      </c>
      <c r="F12" s="30" t="s">
        <v>19</v>
      </c>
      <c r="G12" s="30" t="s">
        <v>48</v>
      </c>
      <c r="H12" s="31">
        <v>0.5</v>
      </c>
      <c r="I12" s="30"/>
      <c r="J12" s="30" t="s">
        <v>1130</v>
      </c>
      <c r="K12" s="30"/>
    </row>
    <row r="13" spans="1:11" ht="36" customHeight="1">
      <c r="A13" s="29" t="s">
        <v>51</v>
      </c>
      <c r="B13" s="29" t="s">
        <v>52</v>
      </c>
      <c r="C13" s="29" t="s">
        <v>53</v>
      </c>
      <c r="D13" s="29" t="s">
        <v>54</v>
      </c>
      <c r="E13" s="29" t="s">
        <v>32</v>
      </c>
      <c r="F13" s="30" t="s">
        <v>33</v>
      </c>
      <c r="G13" s="30"/>
      <c r="H13" s="30"/>
      <c r="I13" s="30"/>
      <c r="J13" s="30"/>
      <c r="K13" s="30"/>
    </row>
    <row r="14" spans="1:11" ht="48" customHeight="1">
      <c r="A14" s="29" t="s">
        <v>55</v>
      </c>
      <c r="B14" s="29" t="s">
        <v>56</v>
      </c>
      <c r="C14" s="29" t="s">
        <v>57</v>
      </c>
      <c r="D14" s="29" t="s">
        <v>54</v>
      </c>
      <c r="E14" s="29" t="s">
        <v>32</v>
      </c>
      <c r="F14" s="30" t="s">
        <v>19</v>
      </c>
      <c r="G14" s="30"/>
      <c r="H14" s="30"/>
      <c r="I14" s="30"/>
      <c r="J14" s="30"/>
      <c r="K14" s="30"/>
    </row>
    <row r="15" spans="1:11" ht="36" customHeight="1">
      <c r="A15" s="29" t="s">
        <v>58</v>
      </c>
      <c r="B15" s="29" t="s">
        <v>52</v>
      </c>
      <c r="C15" s="29" t="s">
        <v>59</v>
      </c>
      <c r="D15" s="29" t="s">
        <v>54</v>
      </c>
      <c r="E15" s="29" t="s">
        <v>32</v>
      </c>
      <c r="F15" s="30" t="s">
        <v>33</v>
      </c>
      <c r="G15" s="30"/>
      <c r="H15" s="30"/>
      <c r="I15" s="30"/>
      <c r="J15" s="30"/>
      <c r="K15" s="30"/>
    </row>
    <row r="16" spans="1:11" ht="36" customHeight="1">
      <c r="A16" s="29" t="s">
        <v>60</v>
      </c>
      <c r="B16" s="29" t="s">
        <v>61</v>
      </c>
      <c r="C16" s="29" t="s">
        <v>62</v>
      </c>
      <c r="D16" s="29" t="s">
        <v>63</v>
      </c>
      <c r="E16" s="29" t="s">
        <v>64</v>
      </c>
      <c r="F16" s="30"/>
      <c r="G16" s="30" t="s">
        <v>20</v>
      </c>
      <c r="H16" s="30"/>
      <c r="I16" s="30"/>
      <c r="J16" s="30"/>
      <c r="K16" s="30"/>
    </row>
    <row r="17" spans="1:11" ht="36" customHeight="1">
      <c r="A17" s="29" t="s">
        <v>65</v>
      </c>
      <c r="B17" s="29" t="s">
        <v>66</v>
      </c>
      <c r="C17" s="29" t="s">
        <v>67</v>
      </c>
      <c r="D17" s="29" t="s">
        <v>68</v>
      </c>
      <c r="E17" s="29" t="s">
        <v>69</v>
      </c>
      <c r="F17" s="30"/>
      <c r="G17" s="30" t="s">
        <v>20</v>
      </c>
      <c r="H17" s="30"/>
      <c r="I17" s="30"/>
      <c r="J17" s="30"/>
      <c r="K17" s="30"/>
    </row>
    <row r="18" spans="1:11" ht="36" customHeight="1">
      <c r="A18" s="29" t="s">
        <v>70</v>
      </c>
      <c r="B18" s="29" t="s">
        <v>71</v>
      </c>
      <c r="C18" s="29" t="s">
        <v>72</v>
      </c>
      <c r="D18" s="29" t="s">
        <v>73</v>
      </c>
      <c r="E18" s="29" t="s">
        <v>74</v>
      </c>
      <c r="F18" s="30" t="s">
        <v>19</v>
      </c>
      <c r="G18" s="30" t="s">
        <v>75</v>
      </c>
      <c r="H18" s="30"/>
      <c r="I18" s="30"/>
      <c r="J18" s="30"/>
      <c r="K18" s="30"/>
    </row>
    <row r="19" spans="1:11" ht="36" customHeight="1">
      <c r="A19" s="29" t="s">
        <v>76</v>
      </c>
      <c r="B19" s="29" t="s">
        <v>77</v>
      </c>
      <c r="C19" s="29" t="s">
        <v>78</v>
      </c>
      <c r="D19" s="29" t="s">
        <v>79</v>
      </c>
      <c r="E19" s="29" t="s">
        <v>80</v>
      </c>
      <c r="F19" s="30" t="s">
        <v>15</v>
      </c>
      <c r="G19" s="30"/>
      <c r="H19" s="30"/>
      <c r="I19" s="30"/>
      <c r="J19" s="30"/>
      <c r="K19" s="30"/>
    </row>
    <row r="20" spans="1:11" ht="36" customHeight="1">
      <c r="A20" s="29" t="s">
        <v>81</v>
      </c>
      <c r="B20" s="29" t="s">
        <v>82</v>
      </c>
      <c r="C20" s="29" t="s">
        <v>83</v>
      </c>
      <c r="D20" s="29" t="s">
        <v>84</v>
      </c>
      <c r="E20" s="29" t="s">
        <v>85</v>
      </c>
      <c r="F20" s="30"/>
      <c r="G20" s="30"/>
      <c r="H20" s="30"/>
      <c r="I20" s="30"/>
      <c r="J20" s="30"/>
      <c r="K20" s="30"/>
    </row>
    <row r="21" spans="1:11" ht="36" customHeight="1">
      <c r="A21" s="29" t="s">
        <v>86</v>
      </c>
      <c r="B21" s="29" t="s">
        <v>87</v>
      </c>
      <c r="C21" s="29" t="s">
        <v>88</v>
      </c>
      <c r="D21" s="29" t="s">
        <v>89</v>
      </c>
      <c r="E21" s="29" t="s">
        <v>90</v>
      </c>
      <c r="F21" s="30" t="s">
        <v>15</v>
      </c>
      <c r="G21" s="30" t="s">
        <v>20</v>
      </c>
      <c r="H21" s="30"/>
      <c r="I21" s="30"/>
      <c r="J21" s="30"/>
      <c r="K21" s="30"/>
    </row>
    <row r="22" spans="1:11" ht="36" customHeight="1">
      <c r="A22" s="29" t="s">
        <v>91</v>
      </c>
      <c r="B22" s="29" t="s">
        <v>92</v>
      </c>
      <c r="C22" s="29" t="s">
        <v>93</v>
      </c>
      <c r="D22" s="29" t="s">
        <v>94</v>
      </c>
      <c r="E22" s="29" t="s">
        <v>95</v>
      </c>
      <c r="F22" s="30" t="s">
        <v>15</v>
      </c>
      <c r="G22" s="30"/>
      <c r="H22" s="30"/>
      <c r="I22" s="30"/>
      <c r="J22" s="30"/>
      <c r="K22" s="30"/>
    </row>
    <row r="23" spans="1:11" ht="36" customHeight="1">
      <c r="A23" s="29" t="s">
        <v>96</v>
      </c>
      <c r="B23" s="29" t="s">
        <v>92</v>
      </c>
      <c r="C23" s="29" t="s">
        <v>97</v>
      </c>
      <c r="D23" s="29" t="s">
        <v>94</v>
      </c>
      <c r="E23" s="29" t="s">
        <v>95</v>
      </c>
      <c r="F23" s="30" t="s">
        <v>33</v>
      </c>
      <c r="G23" s="30" t="s">
        <v>98</v>
      </c>
      <c r="H23" s="30"/>
      <c r="I23" s="30"/>
      <c r="J23" s="30"/>
      <c r="K23" s="30"/>
    </row>
    <row r="24" spans="1:11" ht="36" customHeight="1">
      <c r="A24" s="29" t="s">
        <v>99</v>
      </c>
      <c r="B24" s="29" t="s">
        <v>92</v>
      </c>
      <c r="C24" s="29" t="s">
        <v>100</v>
      </c>
      <c r="D24" s="29" t="s">
        <v>94</v>
      </c>
      <c r="E24" s="29" t="s">
        <v>95</v>
      </c>
      <c r="F24" s="30" t="s">
        <v>33</v>
      </c>
      <c r="G24" s="30" t="s">
        <v>98</v>
      </c>
      <c r="H24" s="30"/>
      <c r="I24" s="30"/>
      <c r="J24" s="30"/>
      <c r="K24" s="30"/>
    </row>
    <row r="25" spans="1:11" ht="36" customHeight="1">
      <c r="A25" s="29" t="s">
        <v>101</v>
      </c>
      <c r="B25" s="29" t="s">
        <v>92</v>
      </c>
      <c r="C25" s="29" t="s">
        <v>102</v>
      </c>
      <c r="D25" s="29" t="s">
        <v>94</v>
      </c>
      <c r="E25" s="29" t="s">
        <v>95</v>
      </c>
      <c r="F25" s="30" t="s">
        <v>33</v>
      </c>
      <c r="G25" s="30" t="s">
        <v>98</v>
      </c>
      <c r="H25" s="31">
        <v>0.6</v>
      </c>
      <c r="I25" s="30"/>
      <c r="J25" s="30">
        <v>2026.07</v>
      </c>
      <c r="K25" s="30"/>
    </row>
    <row r="26" spans="1:11" ht="36" customHeight="1">
      <c r="A26" s="29" t="s">
        <v>103</v>
      </c>
      <c r="B26" s="29" t="s">
        <v>92</v>
      </c>
      <c r="C26" s="29" t="s">
        <v>19</v>
      </c>
      <c r="D26" s="29" t="s">
        <v>94</v>
      </c>
      <c r="E26" s="29" t="s">
        <v>95</v>
      </c>
      <c r="F26" s="30" t="s">
        <v>19</v>
      </c>
      <c r="G26" s="30" t="s">
        <v>98</v>
      </c>
      <c r="H26" s="31">
        <v>0.5</v>
      </c>
      <c r="I26" s="30"/>
      <c r="J26" s="30"/>
      <c r="K26" s="30"/>
    </row>
    <row r="27" spans="1:11" ht="36" customHeight="1">
      <c r="A27" s="29" t="s">
        <v>104</v>
      </c>
      <c r="B27" s="29" t="s">
        <v>105</v>
      </c>
      <c r="C27" s="29" t="s">
        <v>106</v>
      </c>
      <c r="D27" s="29" t="s">
        <v>73</v>
      </c>
      <c r="E27" s="29" t="s">
        <v>74</v>
      </c>
      <c r="F27" s="30" t="s">
        <v>15</v>
      </c>
      <c r="G27" s="30" t="s">
        <v>20</v>
      </c>
      <c r="H27" s="30"/>
      <c r="I27" s="30"/>
      <c r="J27" s="30"/>
      <c r="K27" s="30"/>
    </row>
    <row r="28" spans="1:11" ht="36" customHeight="1">
      <c r="A28" s="29" t="s">
        <v>107</v>
      </c>
      <c r="B28" s="29" t="s">
        <v>108</v>
      </c>
      <c r="C28" s="29" t="s">
        <v>108</v>
      </c>
      <c r="D28" s="29" t="s">
        <v>79</v>
      </c>
      <c r="E28" s="29" t="s">
        <v>80</v>
      </c>
      <c r="F28" s="30" t="s">
        <v>15</v>
      </c>
      <c r="G28" s="30" t="s">
        <v>20</v>
      </c>
      <c r="H28" s="30">
        <v>0.5</v>
      </c>
      <c r="I28" s="30"/>
      <c r="J28" s="30"/>
      <c r="K28" s="30"/>
    </row>
    <row r="29" spans="1:11" ht="36" customHeight="1">
      <c r="A29" s="29" t="s">
        <v>109</v>
      </c>
      <c r="B29" s="29" t="s">
        <v>110</v>
      </c>
      <c r="C29" s="29" t="s">
        <v>111</v>
      </c>
      <c r="D29" s="29" t="s">
        <v>112</v>
      </c>
      <c r="E29" s="29" t="s">
        <v>113</v>
      </c>
      <c r="F29" s="30" t="s">
        <v>114</v>
      </c>
      <c r="G29" s="30" t="s">
        <v>20</v>
      </c>
      <c r="H29" s="30"/>
      <c r="I29" s="30"/>
      <c r="J29" s="30"/>
      <c r="K29" s="30"/>
    </row>
    <row r="30" spans="1:11" ht="36" customHeight="1">
      <c r="A30" s="29" t="s">
        <v>115</v>
      </c>
      <c r="B30" s="29" t="s">
        <v>116</v>
      </c>
      <c r="C30" s="29" t="s">
        <v>117</v>
      </c>
      <c r="D30" s="29" t="s">
        <v>118</v>
      </c>
      <c r="E30" s="29" t="s">
        <v>80</v>
      </c>
      <c r="F30" s="30"/>
      <c r="G30" s="30" t="s">
        <v>20</v>
      </c>
      <c r="H30" s="30"/>
      <c r="I30" s="30"/>
      <c r="J30" s="30"/>
      <c r="K30" s="30"/>
    </row>
    <row r="31" spans="1:11" ht="48" customHeight="1">
      <c r="A31" s="29" t="s">
        <v>119</v>
      </c>
      <c r="B31" s="29" t="s">
        <v>120</v>
      </c>
      <c r="C31" s="29" t="s">
        <v>121</v>
      </c>
      <c r="D31" s="29" t="s">
        <v>122</v>
      </c>
      <c r="E31" s="29" t="s">
        <v>95</v>
      </c>
      <c r="F31" s="30" t="s">
        <v>123</v>
      </c>
      <c r="G31" s="30" t="s">
        <v>124</v>
      </c>
      <c r="H31" s="30"/>
      <c r="I31" s="30"/>
      <c r="J31" s="30"/>
      <c r="K31" s="30"/>
    </row>
    <row r="32" spans="1:11" ht="36" customHeight="1">
      <c r="A32" s="29" t="s">
        <v>125</v>
      </c>
      <c r="B32" s="29" t="s">
        <v>126</v>
      </c>
      <c r="C32" s="29" t="s">
        <v>127</v>
      </c>
      <c r="D32" s="29" t="s">
        <v>128</v>
      </c>
      <c r="E32" s="29" t="s">
        <v>129</v>
      </c>
      <c r="F32" s="30"/>
      <c r="G32" s="30" t="s">
        <v>130</v>
      </c>
      <c r="H32" s="30"/>
      <c r="I32" s="30"/>
      <c r="J32" s="30">
        <v>2026.04</v>
      </c>
      <c r="K32" s="30"/>
    </row>
    <row r="33" spans="1:11" ht="36" customHeight="1">
      <c r="A33" s="29" t="s">
        <v>131</v>
      </c>
      <c r="B33" s="29" t="s">
        <v>126</v>
      </c>
      <c r="C33" s="29" t="s">
        <v>132</v>
      </c>
      <c r="D33" s="29" t="s">
        <v>128</v>
      </c>
      <c r="E33" s="29" t="s">
        <v>129</v>
      </c>
      <c r="F33" s="30"/>
      <c r="G33" s="30" t="s">
        <v>130</v>
      </c>
      <c r="H33" s="30"/>
      <c r="I33" s="30"/>
      <c r="J33" s="30">
        <v>2026.08</v>
      </c>
      <c r="K33" s="30"/>
    </row>
    <row r="34" spans="1:11" ht="36" customHeight="1">
      <c r="A34" s="29" t="s">
        <v>133</v>
      </c>
      <c r="B34" s="29" t="s">
        <v>126</v>
      </c>
      <c r="C34" s="29" t="s">
        <v>134</v>
      </c>
      <c r="D34" s="29" t="s">
        <v>128</v>
      </c>
      <c r="E34" s="29" t="s">
        <v>129</v>
      </c>
      <c r="F34" s="30"/>
      <c r="G34" s="30" t="s">
        <v>20</v>
      </c>
      <c r="H34" s="30"/>
      <c r="I34" s="30"/>
      <c r="J34" s="30">
        <v>2026.01</v>
      </c>
      <c r="K34" s="30"/>
    </row>
    <row r="35" spans="1:11" ht="36" customHeight="1">
      <c r="A35" s="29" t="s">
        <v>135</v>
      </c>
      <c r="B35" s="29" t="s">
        <v>126</v>
      </c>
      <c r="C35" s="29" t="s">
        <v>136</v>
      </c>
      <c r="D35" s="29" t="s">
        <v>128</v>
      </c>
      <c r="E35" s="29" t="s">
        <v>129</v>
      </c>
      <c r="F35" s="30"/>
      <c r="G35" s="30" t="s">
        <v>137</v>
      </c>
      <c r="H35" s="30"/>
      <c r="I35" s="30"/>
      <c r="J35" s="30">
        <v>2025.12</v>
      </c>
      <c r="K35" s="30"/>
    </row>
    <row r="36" spans="1:11" ht="36" customHeight="1">
      <c r="A36" s="29" t="s">
        <v>138</v>
      </c>
      <c r="B36" s="29" t="s">
        <v>126</v>
      </c>
      <c r="C36" s="29" t="s">
        <v>139</v>
      </c>
      <c r="D36" s="29" t="s">
        <v>128</v>
      </c>
      <c r="E36" s="29" t="s">
        <v>129</v>
      </c>
      <c r="F36" s="30"/>
      <c r="G36" s="30" t="s">
        <v>137</v>
      </c>
      <c r="H36" s="30"/>
      <c r="I36" s="30"/>
      <c r="J36" s="30">
        <v>2026.06</v>
      </c>
      <c r="K36" s="30"/>
    </row>
    <row r="37" spans="1:11" ht="36" customHeight="1">
      <c r="A37" s="29" t="s">
        <v>140</v>
      </c>
      <c r="B37" s="29" t="s">
        <v>126</v>
      </c>
      <c r="C37" s="29" t="s">
        <v>141</v>
      </c>
      <c r="D37" s="29" t="s">
        <v>128</v>
      </c>
      <c r="E37" s="29" t="s">
        <v>129</v>
      </c>
      <c r="F37" s="30"/>
      <c r="G37" s="30" t="s">
        <v>142</v>
      </c>
      <c r="H37" s="30"/>
      <c r="I37" s="30"/>
      <c r="J37" s="30">
        <v>2025.12</v>
      </c>
      <c r="K37" s="30"/>
    </row>
    <row r="38" spans="1:11" ht="36" customHeight="1">
      <c r="A38" s="29" t="s">
        <v>143</v>
      </c>
      <c r="B38" s="29" t="s">
        <v>126</v>
      </c>
      <c r="C38" s="29" t="s">
        <v>144</v>
      </c>
      <c r="D38" s="29" t="s">
        <v>128</v>
      </c>
      <c r="E38" s="29" t="s">
        <v>129</v>
      </c>
      <c r="F38" s="30"/>
      <c r="G38" s="30" t="s">
        <v>137</v>
      </c>
      <c r="H38" s="30"/>
      <c r="I38" s="30"/>
      <c r="J38" s="30">
        <v>2026.01</v>
      </c>
      <c r="K38" s="30"/>
    </row>
    <row r="39" spans="1:11" ht="36" customHeight="1">
      <c r="A39" s="29" t="s">
        <v>145</v>
      </c>
      <c r="B39" s="29" t="s">
        <v>126</v>
      </c>
      <c r="C39" s="29" t="s">
        <v>146</v>
      </c>
      <c r="D39" s="29" t="s">
        <v>128</v>
      </c>
      <c r="E39" s="29" t="s">
        <v>129</v>
      </c>
      <c r="F39" s="30"/>
      <c r="G39" s="30" t="s">
        <v>137</v>
      </c>
      <c r="H39" s="30"/>
      <c r="I39" s="30"/>
      <c r="J39" s="30">
        <v>2026.07</v>
      </c>
      <c r="K39" s="30"/>
    </row>
    <row r="40" spans="1:11" ht="36" customHeight="1">
      <c r="A40" s="29" t="s">
        <v>147</v>
      </c>
      <c r="B40" s="29" t="s">
        <v>126</v>
      </c>
      <c r="C40" s="29" t="s">
        <v>148</v>
      </c>
      <c r="D40" s="29" t="s">
        <v>128</v>
      </c>
      <c r="E40" s="29" t="s">
        <v>129</v>
      </c>
      <c r="F40" s="30"/>
      <c r="G40" s="30" t="s">
        <v>142</v>
      </c>
      <c r="H40" s="30"/>
      <c r="I40" s="30"/>
      <c r="J40" s="30">
        <v>2026.05</v>
      </c>
      <c r="K40" s="30"/>
    </row>
    <row r="41" spans="1:11" ht="36" customHeight="1">
      <c r="A41" s="29" t="s">
        <v>149</v>
      </c>
      <c r="B41" s="29" t="s">
        <v>126</v>
      </c>
      <c r="C41" s="29" t="s">
        <v>150</v>
      </c>
      <c r="D41" s="29" t="s">
        <v>128</v>
      </c>
      <c r="E41" s="29" t="s">
        <v>129</v>
      </c>
      <c r="F41" s="30"/>
      <c r="G41" s="30" t="s">
        <v>142</v>
      </c>
      <c r="H41" s="30"/>
      <c r="I41" s="30"/>
      <c r="J41" s="30">
        <v>2026.07</v>
      </c>
      <c r="K41" s="30"/>
    </row>
    <row r="42" spans="1:11" ht="36" customHeight="1">
      <c r="A42" s="29" t="s">
        <v>151</v>
      </c>
      <c r="B42" s="29" t="s">
        <v>152</v>
      </c>
      <c r="C42" s="29" t="s">
        <v>153</v>
      </c>
      <c r="D42" s="29" t="s">
        <v>154</v>
      </c>
      <c r="E42" s="29" t="s">
        <v>155</v>
      </c>
      <c r="F42" s="30" t="s">
        <v>15</v>
      </c>
      <c r="G42" s="30" t="s">
        <v>75</v>
      </c>
      <c r="H42" s="30"/>
      <c r="I42" s="30"/>
      <c r="J42" s="30"/>
      <c r="K42" s="30"/>
    </row>
    <row r="43" spans="1:11" ht="36" customHeight="1">
      <c r="A43" s="29" t="s">
        <v>156</v>
      </c>
      <c r="B43" s="29" t="s">
        <v>116</v>
      </c>
      <c r="C43" s="29" t="s">
        <v>157</v>
      </c>
      <c r="D43" s="29" t="s">
        <v>118</v>
      </c>
      <c r="E43" s="29" t="s">
        <v>80</v>
      </c>
      <c r="F43" s="30"/>
      <c r="G43" s="30" t="s">
        <v>157</v>
      </c>
      <c r="H43" s="30"/>
      <c r="I43" s="30"/>
      <c r="J43" s="30"/>
      <c r="K43" s="30"/>
    </row>
    <row r="44" spans="1:11" ht="36" customHeight="1">
      <c r="A44" s="29" t="s">
        <v>158</v>
      </c>
      <c r="B44" s="29" t="s">
        <v>71</v>
      </c>
      <c r="C44" s="29" t="s">
        <v>159</v>
      </c>
      <c r="D44" s="29" t="s">
        <v>73</v>
      </c>
      <c r="E44" s="29" t="s">
        <v>74</v>
      </c>
      <c r="F44" s="30" t="s">
        <v>19</v>
      </c>
      <c r="G44" s="30" t="s">
        <v>159</v>
      </c>
      <c r="H44" s="30"/>
      <c r="I44" s="30"/>
      <c r="J44" s="30"/>
      <c r="K44" s="30"/>
    </row>
    <row r="45" spans="1:11" ht="36" customHeight="1">
      <c r="A45" s="29" t="s">
        <v>160</v>
      </c>
      <c r="B45" s="29" t="s">
        <v>161</v>
      </c>
      <c r="C45" s="29" t="s">
        <v>162</v>
      </c>
      <c r="D45" s="29" t="s">
        <v>163</v>
      </c>
      <c r="E45" s="29" t="s">
        <v>164</v>
      </c>
      <c r="F45" s="30" t="s">
        <v>33</v>
      </c>
      <c r="G45" s="30" t="s">
        <v>165</v>
      </c>
      <c r="H45" s="30"/>
      <c r="I45" s="30"/>
      <c r="J45" s="30"/>
      <c r="K45" s="30"/>
    </row>
    <row r="46" spans="1:11" ht="36" customHeight="1">
      <c r="A46" s="29" t="s">
        <v>166</v>
      </c>
      <c r="B46" s="29" t="s">
        <v>167</v>
      </c>
      <c r="C46" s="29" t="s">
        <v>168</v>
      </c>
      <c r="D46" s="29" t="s">
        <v>169</v>
      </c>
      <c r="E46" s="29" t="s">
        <v>14</v>
      </c>
      <c r="F46" s="30" t="s">
        <v>15</v>
      </c>
      <c r="G46" s="30" t="s">
        <v>170</v>
      </c>
      <c r="H46" s="30"/>
      <c r="I46" s="30"/>
      <c r="J46" s="30"/>
      <c r="K46" s="30"/>
    </row>
    <row r="47" spans="1:11" ht="36" customHeight="1">
      <c r="A47" s="29" t="s">
        <v>171</v>
      </c>
      <c r="B47" s="29" t="s">
        <v>172</v>
      </c>
      <c r="C47" s="29" t="s">
        <v>173</v>
      </c>
      <c r="D47" s="29" t="s">
        <v>174</v>
      </c>
      <c r="E47" s="29" t="s">
        <v>14</v>
      </c>
      <c r="F47" s="30" t="s">
        <v>15</v>
      </c>
      <c r="G47" s="30" t="s">
        <v>173</v>
      </c>
      <c r="H47" s="30"/>
      <c r="I47" s="30"/>
      <c r="J47" s="30"/>
      <c r="K47" s="30"/>
    </row>
    <row r="48" spans="1:11" ht="36" customHeight="1">
      <c r="A48" s="29" t="s">
        <v>175</v>
      </c>
      <c r="B48" s="29" t="s">
        <v>176</v>
      </c>
      <c r="C48" s="29" t="s">
        <v>33</v>
      </c>
      <c r="D48" s="29" t="s">
        <v>177</v>
      </c>
      <c r="E48" s="29" t="s">
        <v>178</v>
      </c>
      <c r="F48" s="30" t="s">
        <v>33</v>
      </c>
      <c r="G48" s="30" t="s">
        <v>179</v>
      </c>
      <c r="H48" s="30"/>
      <c r="I48" s="30"/>
      <c r="J48" s="30"/>
      <c r="K48" s="30"/>
    </row>
    <row r="49" spans="1:11" ht="68.099999999999994" customHeight="1">
      <c r="A49" s="29" t="s">
        <v>180</v>
      </c>
      <c r="B49" s="29" t="s">
        <v>181</v>
      </c>
      <c r="C49" s="29" t="s">
        <v>182</v>
      </c>
      <c r="D49" s="29" t="s">
        <v>183</v>
      </c>
      <c r="E49" s="29" t="s">
        <v>184</v>
      </c>
      <c r="F49" s="30" t="s">
        <v>185</v>
      </c>
      <c r="G49" s="30" t="s">
        <v>186</v>
      </c>
      <c r="H49" s="30"/>
      <c r="I49" s="30"/>
      <c r="J49" s="30"/>
      <c r="K49" s="30"/>
    </row>
    <row r="50" spans="1:11" ht="48" customHeight="1">
      <c r="A50" s="29" t="s">
        <v>187</v>
      </c>
      <c r="B50" s="29" t="s">
        <v>181</v>
      </c>
      <c r="C50" s="29" t="s">
        <v>188</v>
      </c>
      <c r="D50" s="29" t="s">
        <v>183</v>
      </c>
      <c r="E50" s="29" t="s">
        <v>184</v>
      </c>
      <c r="F50" s="30" t="s">
        <v>185</v>
      </c>
      <c r="G50" s="30" t="s">
        <v>186</v>
      </c>
      <c r="H50" s="30"/>
      <c r="I50" s="30"/>
      <c r="J50" s="30"/>
      <c r="K50" s="30"/>
    </row>
    <row r="51" spans="1:11" ht="36" customHeight="1">
      <c r="A51" s="29" t="s">
        <v>189</v>
      </c>
      <c r="B51" s="29" t="s">
        <v>190</v>
      </c>
      <c r="C51" s="29" t="s">
        <v>191</v>
      </c>
      <c r="D51" s="29" t="s">
        <v>192</v>
      </c>
      <c r="E51" s="29" t="s">
        <v>64</v>
      </c>
      <c r="F51" s="30" t="s">
        <v>33</v>
      </c>
      <c r="G51" s="30" t="s">
        <v>186</v>
      </c>
      <c r="H51" s="30"/>
      <c r="I51" s="30"/>
      <c r="J51" s="30"/>
      <c r="K51" s="30"/>
    </row>
    <row r="52" spans="1:11" ht="36" customHeight="1">
      <c r="A52" s="29" t="s">
        <v>193</v>
      </c>
      <c r="B52" s="29" t="s">
        <v>194</v>
      </c>
      <c r="C52" s="29" t="s">
        <v>195</v>
      </c>
      <c r="D52" s="29" t="s">
        <v>196</v>
      </c>
      <c r="E52" s="29" t="s">
        <v>197</v>
      </c>
      <c r="F52" s="30" t="s">
        <v>198</v>
      </c>
      <c r="G52" s="30" t="s">
        <v>199</v>
      </c>
      <c r="H52" s="30"/>
      <c r="I52" s="30"/>
      <c r="J52" s="30"/>
      <c r="K52" s="30"/>
    </row>
    <row r="53" spans="1:11" ht="36" customHeight="1">
      <c r="A53" s="29" t="s">
        <v>200</v>
      </c>
      <c r="B53" s="29" t="s">
        <v>201</v>
      </c>
      <c r="C53" s="29" t="s">
        <v>202</v>
      </c>
      <c r="D53" s="29" t="s">
        <v>203</v>
      </c>
      <c r="E53" s="29" t="s">
        <v>204</v>
      </c>
      <c r="F53" s="30" t="s">
        <v>33</v>
      </c>
      <c r="G53" s="30"/>
      <c r="H53" s="30"/>
      <c r="I53" s="30"/>
      <c r="J53" s="30"/>
      <c r="K53" s="30"/>
    </row>
    <row r="54" spans="1:11" ht="36" customHeight="1">
      <c r="A54" s="29" t="s">
        <v>205</v>
      </c>
      <c r="B54" s="29" t="s">
        <v>206</v>
      </c>
      <c r="C54" s="29" t="s">
        <v>19</v>
      </c>
      <c r="D54" s="29" t="s">
        <v>207</v>
      </c>
      <c r="E54" s="29" t="s">
        <v>197</v>
      </c>
      <c r="F54" s="30" t="s">
        <v>19</v>
      </c>
      <c r="G54" s="30"/>
      <c r="H54" s="30"/>
      <c r="I54" s="30"/>
      <c r="J54" s="30"/>
      <c r="K54" s="30"/>
    </row>
    <row r="55" spans="1:11" ht="36" customHeight="1">
      <c r="A55" s="29" t="s">
        <v>208</v>
      </c>
      <c r="B55" s="29" t="s">
        <v>209</v>
      </c>
      <c r="C55" s="29" t="s">
        <v>210</v>
      </c>
      <c r="D55" s="29" t="s">
        <v>207</v>
      </c>
      <c r="E55" s="29" t="s">
        <v>197</v>
      </c>
      <c r="F55" s="30" t="s">
        <v>198</v>
      </c>
      <c r="G55" s="30"/>
      <c r="H55" s="30"/>
      <c r="I55" s="30"/>
      <c r="J55" s="30"/>
      <c r="K55" s="30"/>
    </row>
    <row r="56" spans="1:11" ht="36" customHeight="1">
      <c r="A56" s="29" t="s">
        <v>211</v>
      </c>
      <c r="B56" s="29" t="s">
        <v>167</v>
      </c>
      <c r="C56" s="29" t="s">
        <v>212</v>
      </c>
      <c r="D56" s="29" t="s">
        <v>169</v>
      </c>
      <c r="E56" s="29" t="s">
        <v>14</v>
      </c>
      <c r="F56" s="30" t="s">
        <v>15</v>
      </c>
      <c r="G56" s="30" t="s">
        <v>213</v>
      </c>
      <c r="H56" s="30"/>
      <c r="I56" s="30"/>
      <c r="J56" s="30"/>
      <c r="K56" s="30"/>
    </row>
    <row r="57" spans="1:11" ht="48" customHeight="1">
      <c r="A57" s="29" t="s">
        <v>214</v>
      </c>
      <c r="B57" s="29" t="s">
        <v>215</v>
      </c>
      <c r="C57" s="29" t="s">
        <v>216</v>
      </c>
      <c r="D57" s="29" t="s">
        <v>217</v>
      </c>
      <c r="E57" s="29" t="s">
        <v>164</v>
      </c>
      <c r="F57" s="30" t="s">
        <v>185</v>
      </c>
      <c r="G57" s="30" t="s">
        <v>218</v>
      </c>
      <c r="H57" s="30"/>
      <c r="I57" s="30"/>
      <c r="J57" s="30"/>
      <c r="K57" s="30"/>
    </row>
    <row r="58" spans="1:11" ht="36" customHeight="1">
      <c r="A58" s="29" t="s">
        <v>219</v>
      </c>
      <c r="B58" s="29" t="s">
        <v>220</v>
      </c>
      <c r="C58" s="29" t="s">
        <v>221</v>
      </c>
      <c r="D58" s="29" t="s">
        <v>222</v>
      </c>
      <c r="E58" s="29" t="s">
        <v>64</v>
      </c>
      <c r="F58" s="30" t="s">
        <v>19</v>
      </c>
      <c r="G58" s="30" t="s">
        <v>223</v>
      </c>
      <c r="H58" s="30"/>
      <c r="I58" s="30"/>
      <c r="J58" s="30"/>
      <c r="K58" s="30"/>
    </row>
    <row r="59" spans="1:11" ht="36" customHeight="1">
      <c r="A59" s="29" t="s">
        <v>224</v>
      </c>
      <c r="B59" s="29" t="s">
        <v>225</v>
      </c>
      <c r="C59" s="29" t="s">
        <v>226</v>
      </c>
      <c r="D59" s="29" t="s">
        <v>227</v>
      </c>
      <c r="E59" s="29" t="s">
        <v>14</v>
      </c>
      <c r="F59" s="30" t="s">
        <v>228</v>
      </c>
      <c r="G59" s="30" t="s">
        <v>229</v>
      </c>
      <c r="H59" s="31"/>
      <c r="I59" s="30"/>
      <c r="J59" s="30" t="s">
        <v>1129</v>
      </c>
      <c r="K59" s="30"/>
    </row>
    <row r="60" spans="1:11" ht="36" customHeight="1">
      <c r="A60" s="29" t="s">
        <v>230</v>
      </c>
      <c r="B60" s="29" t="s">
        <v>225</v>
      </c>
      <c r="C60" s="29" t="s">
        <v>231</v>
      </c>
      <c r="D60" s="29" t="s">
        <v>227</v>
      </c>
      <c r="E60" s="29" t="s">
        <v>14</v>
      </c>
      <c r="F60" s="30" t="s">
        <v>15</v>
      </c>
      <c r="G60" s="41" t="s">
        <v>1133</v>
      </c>
      <c r="H60" s="31">
        <v>0.48</v>
      </c>
      <c r="I60" s="30"/>
      <c r="J60" s="30" t="s">
        <v>1134</v>
      </c>
      <c r="K60" s="30"/>
    </row>
    <row r="61" spans="1:11" ht="36" customHeight="1">
      <c r="A61" s="29" t="s">
        <v>232</v>
      </c>
      <c r="B61" s="29" t="s">
        <v>233</v>
      </c>
      <c r="C61" s="29" t="s">
        <v>234</v>
      </c>
      <c r="D61" s="29" t="s">
        <v>235</v>
      </c>
      <c r="E61" s="29" t="s">
        <v>14</v>
      </c>
      <c r="F61" s="30" t="s">
        <v>19</v>
      </c>
      <c r="G61" s="30" t="s">
        <v>236</v>
      </c>
      <c r="H61" s="30"/>
      <c r="I61" s="30"/>
      <c r="J61" s="30"/>
      <c r="K61" s="30"/>
    </row>
    <row r="62" spans="1:11" ht="36" customHeight="1">
      <c r="A62" s="29" t="s">
        <v>237</v>
      </c>
      <c r="B62" s="29" t="s">
        <v>238</v>
      </c>
      <c r="C62" s="29" t="s">
        <v>239</v>
      </c>
      <c r="D62" s="29" t="s">
        <v>240</v>
      </c>
      <c r="E62" s="29" t="s">
        <v>241</v>
      </c>
      <c r="F62" s="30" t="s">
        <v>15</v>
      </c>
      <c r="G62" s="30" t="s">
        <v>242</v>
      </c>
      <c r="H62" s="30"/>
      <c r="I62" s="30"/>
      <c r="J62" s="30"/>
      <c r="K62" s="30"/>
    </row>
    <row r="63" spans="1:11" ht="36" customHeight="1">
      <c r="A63" s="29" t="s">
        <v>243</v>
      </c>
      <c r="B63" s="29" t="s">
        <v>244</v>
      </c>
      <c r="C63" s="29" t="s">
        <v>245</v>
      </c>
      <c r="D63" s="29" t="s">
        <v>246</v>
      </c>
      <c r="E63" s="29" t="s">
        <v>247</v>
      </c>
      <c r="F63" s="30" t="s">
        <v>248</v>
      </c>
      <c r="G63" s="30" t="s">
        <v>249</v>
      </c>
      <c r="H63" s="30"/>
      <c r="I63" s="30" t="s">
        <v>1117</v>
      </c>
      <c r="J63" s="30"/>
      <c r="K63" s="30"/>
    </row>
    <row r="64" spans="1:11" ht="36" customHeight="1">
      <c r="A64" s="29" t="s">
        <v>250</v>
      </c>
      <c r="B64" s="29" t="s">
        <v>251</v>
      </c>
      <c r="C64" s="29" t="s">
        <v>252</v>
      </c>
      <c r="D64" s="29" t="s">
        <v>253</v>
      </c>
      <c r="E64" s="29" t="s">
        <v>164</v>
      </c>
      <c r="F64" s="30"/>
      <c r="G64" s="30" t="s">
        <v>254</v>
      </c>
      <c r="H64" s="30"/>
      <c r="I64" s="30"/>
      <c r="J64" s="30"/>
      <c r="K64" s="30"/>
    </row>
    <row r="65" spans="1:11" ht="36" customHeight="1">
      <c r="A65" s="29" t="s">
        <v>255</v>
      </c>
      <c r="B65" s="29" t="s">
        <v>251</v>
      </c>
      <c r="C65" s="29" t="s">
        <v>256</v>
      </c>
      <c r="D65" s="29" t="s">
        <v>253</v>
      </c>
      <c r="E65" s="29" t="s">
        <v>164</v>
      </c>
      <c r="F65" s="30"/>
      <c r="G65" s="30" t="s">
        <v>165</v>
      </c>
      <c r="H65" s="30"/>
      <c r="I65" s="30"/>
      <c r="J65" s="30"/>
      <c r="K65" s="30"/>
    </row>
    <row r="66" spans="1:11" ht="36" customHeight="1">
      <c r="A66" s="29" t="s">
        <v>257</v>
      </c>
      <c r="B66" s="29" t="s">
        <v>251</v>
      </c>
      <c r="C66" s="29" t="s">
        <v>258</v>
      </c>
      <c r="D66" s="29" t="s">
        <v>253</v>
      </c>
      <c r="E66" s="29" t="s">
        <v>164</v>
      </c>
      <c r="F66" s="30"/>
      <c r="G66" s="30" t="s">
        <v>254</v>
      </c>
      <c r="H66" s="30"/>
      <c r="I66" s="30"/>
      <c r="J66" s="30"/>
      <c r="K66" s="30"/>
    </row>
    <row r="67" spans="1:11" ht="36" customHeight="1">
      <c r="A67" s="29" t="s">
        <v>259</v>
      </c>
      <c r="B67" s="29" t="s">
        <v>251</v>
      </c>
      <c r="C67" s="29" t="s">
        <v>260</v>
      </c>
      <c r="D67" s="29" t="s">
        <v>253</v>
      </c>
      <c r="E67" s="29" t="s">
        <v>164</v>
      </c>
      <c r="F67" s="30"/>
      <c r="G67" s="30" t="s">
        <v>165</v>
      </c>
      <c r="H67" s="30"/>
      <c r="I67" s="30"/>
      <c r="J67" s="30"/>
      <c r="K67" s="30"/>
    </row>
    <row r="68" spans="1:11" ht="36" customHeight="1">
      <c r="A68" s="29" t="s">
        <v>261</v>
      </c>
      <c r="B68" s="29" t="s">
        <v>251</v>
      </c>
      <c r="C68" s="29" t="s">
        <v>262</v>
      </c>
      <c r="D68" s="29" t="s">
        <v>253</v>
      </c>
      <c r="E68" s="29" t="s">
        <v>164</v>
      </c>
      <c r="F68" s="30"/>
      <c r="G68" s="30" t="s">
        <v>165</v>
      </c>
      <c r="H68" s="30"/>
      <c r="I68" s="30"/>
      <c r="J68" s="30"/>
      <c r="K68" s="30"/>
    </row>
    <row r="69" spans="1:11" ht="36" customHeight="1">
      <c r="A69" s="29" t="s">
        <v>263</v>
      </c>
      <c r="B69" s="29" t="s">
        <v>251</v>
      </c>
      <c r="C69" s="29" t="s">
        <v>264</v>
      </c>
      <c r="D69" s="29" t="s">
        <v>253</v>
      </c>
      <c r="E69" s="29" t="s">
        <v>164</v>
      </c>
      <c r="F69" s="30"/>
      <c r="G69" s="30" t="s">
        <v>254</v>
      </c>
      <c r="H69" s="30"/>
      <c r="I69" s="30"/>
      <c r="J69" s="30"/>
      <c r="K69" s="30"/>
    </row>
    <row r="70" spans="1:11" ht="36" customHeight="1">
      <c r="A70" s="29" t="s">
        <v>265</v>
      </c>
      <c r="B70" s="29" t="s">
        <v>251</v>
      </c>
      <c r="C70" s="29" t="s">
        <v>266</v>
      </c>
      <c r="D70" s="29" t="s">
        <v>253</v>
      </c>
      <c r="E70" s="29" t="s">
        <v>164</v>
      </c>
      <c r="F70" s="30"/>
      <c r="G70" s="30" t="s">
        <v>1118</v>
      </c>
      <c r="H70" s="30"/>
      <c r="I70" s="30"/>
      <c r="J70" s="30"/>
      <c r="K70" s="30"/>
    </row>
    <row r="71" spans="1:11" ht="36" customHeight="1">
      <c r="A71" s="29" t="s">
        <v>267</v>
      </c>
      <c r="B71" s="29" t="s">
        <v>268</v>
      </c>
      <c r="C71" s="29" t="s">
        <v>33</v>
      </c>
      <c r="D71" s="29" t="s">
        <v>269</v>
      </c>
      <c r="E71" s="29" t="s">
        <v>47</v>
      </c>
      <c r="F71" s="30" t="s">
        <v>33</v>
      </c>
      <c r="G71" s="30" t="s">
        <v>270</v>
      </c>
      <c r="H71" s="30"/>
      <c r="I71" s="30"/>
      <c r="J71" s="30"/>
      <c r="K71" s="30"/>
    </row>
    <row r="72" spans="1:11" ht="36" customHeight="1">
      <c r="A72" s="29" t="s">
        <v>271</v>
      </c>
      <c r="B72" s="29" t="s">
        <v>272</v>
      </c>
      <c r="C72" s="29" t="s">
        <v>273</v>
      </c>
      <c r="D72" s="29" t="s">
        <v>274</v>
      </c>
      <c r="E72" s="29" t="s">
        <v>275</v>
      </c>
      <c r="F72" s="30" t="s">
        <v>19</v>
      </c>
      <c r="G72" s="30" t="s">
        <v>165</v>
      </c>
      <c r="H72" s="30"/>
      <c r="I72" s="30"/>
      <c r="J72" s="30"/>
      <c r="K72" s="30"/>
    </row>
    <row r="73" spans="1:11" ht="36" customHeight="1">
      <c r="A73" s="29" t="s">
        <v>276</v>
      </c>
      <c r="B73" s="29" t="s">
        <v>277</v>
      </c>
      <c r="C73" s="29" t="s">
        <v>278</v>
      </c>
      <c r="D73" s="29" t="s">
        <v>279</v>
      </c>
      <c r="E73" s="29" t="s">
        <v>14</v>
      </c>
      <c r="F73" s="30" t="s">
        <v>15</v>
      </c>
      <c r="G73" s="30" t="s">
        <v>213</v>
      </c>
      <c r="H73" s="30"/>
      <c r="I73" s="30"/>
      <c r="J73" s="30"/>
      <c r="K73" s="30"/>
    </row>
    <row r="74" spans="1:11" ht="36" customHeight="1">
      <c r="A74" s="29" t="s">
        <v>280</v>
      </c>
      <c r="B74" s="29" t="s">
        <v>281</v>
      </c>
      <c r="C74" s="29" t="s">
        <v>282</v>
      </c>
      <c r="D74" s="29" t="s">
        <v>283</v>
      </c>
      <c r="E74" s="29" t="s">
        <v>80</v>
      </c>
      <c r="F74" s="30"/>
      <c r="G74" s="30" t="s">
        <v>284</v>
      </c>
      <c r="H74" s="30"/>
      <c r="I74" s="30"/>
      <c r="J74" s="30"/>
      <c r="K74" s="30"/>
    </row>
    <row r="75" spans="1:11" ht="36" customHeight="1">
      <c r="A75" s="29" t="s">
        <v>285</v>
      </c>
      <c r="B75" s="29" t="s">
        <v>286</v>
      </c>
      <c r="C75" s="29" t="s">
        <v>287</v>
      </c>
      <c r="D75" s="29" t="s">
        <v>288</v>
      </c>
      <c r="E75" s="29" t="s">
        <v>184</v>
      </c>
      <c r="F75" s="30" t="s">
        <v>15</v>
      </c>
      <c r="G75" s="30"/>
      <c r="H75" s="30"/>
      <c r="I75" s="30"/>
      <c r="J75" s="30"/>
      <c r="K75" s="30"/>
    </row>
    <row r="76" spans="1:11" ht="36" customHeight="1">
      <c r="A76" s="29" t="s">
        <v>289</v>
      </c>
      <c r="B76" s="29" t="s">
        <v>286</v>
      </c>
      <c r="C76" s="29" t="s">
        <v>290</v>
      </c>
      <c r="D76" s="29" t="s">
        <v>288</v>
      </c>
      <c r="E76" s="29" t="s">
        <v>184</v>
      </c>
      <c r="F76" s="30" t="s">
        <v>19</v>
      </c>
      <c r="G76" s="30" t="s">
        <v>186</v>
      </c>
      <c r="H76" s="30"/>
      <c r="I76" s="30"/>
      <c r="J76" s="30"/>
      <c r="K76" s="30"/>
    </row>
    <row r="77" spans="1:11" ht="36" customHeight="1">
      <c r="A77" s="29" t="s">
        <v>291</v>
      </c>
      <c r="B77" s="29" t="s">
        <v>292</v>
      </c>
      <c r="C77" s="29" t="s">
        <v>293</v>
      </c>
      <c r="D77" s="29" t="s">
        <v>294</v>
      </c>
      <c r="E77" s="29" t="s">
        <v>32</v>
      </c>
      <c r="F77" s="30" t="s">
        <v>19</v>
      </c>
      <c r="G77" s="30" t="s">
        <v>295</v>
      </c>
      <c r="H77" s="30"/>
      <c r="I77" s="30"/>
      <c r="J77" s="30"/>
      <c r="K77" s="30"/>
    </row>
    <row r="78" spans="1:11" ht="36" customHeight="1">
      <c r="A78" s="29" t="s">
        <v>296</v>
      </c>
      <c r="B78" s="29" t="s">
        <v>297</v>
      </c>
      <c r="C78" s="29" t="s">
        <v>298</v>
      </c>
      <c r="D78" s="29" t="s">
        <v>299</v>
      </c>
      <c r="E78" s="29" t="s">
        <v>247</v>
      </c>
      <c r="F78" s="30" t="s">
        <v>19</v>
      </c>
      <c r="G78" s="30" t="s">
        <v>75</v>
      </c>
      <c r="H78" s="30"/>
      <c r="I78" s="30"/>
      <c r="J78" s="30"/>
      <c r="K78" s="30"/>
    </row>
    <row r="79" spans="1:11" ht="36" customHeight="1">
      <c r="A79" s="29" t="s">
        <v>300</v>
      </c>
      <c r="B79" s="29" t="s">
        <v>301</v>
      </c>
      <c r="C79" s="29" t="s">
        <v>302</v>
      </c>
      <c r="D79" s="29" t="s">
        <v>303</v>
      </c>
      <c r="E79" s="29" t="s">
        <v>164</v>
      </c>
      <c r="F79" s="30" t="s">
        <v>33</v>
      </c>
      <c r="G79" s="30" t="s">
        <v>75</v>
      </c>
      <c r="H79" s="30"/>
      <c r="I79" s="30"/>
      <c r="J79" s="30"/>
      <c r="K79" s="30"/>
    </row>
    <row r="80" spans="1:11" ht="36" customHeight="1">
      <c r="A80" s="29" t="s">
        <v>304</v>
      </c>
      <c r="B80" s="29" t="s">
        <v>305</v>
      </c>
      <c r="C80" s="29" t="s">
        <v>306</v>
      </c>
      <c r="D80" s="29" t="s">
        <v>307</v>
      </c>
      <c r="E80" s="29" t="s">
        <v>247</v>
      </c>
      <c r="F80" s="30" t="s">
        <v>33</v>
      </c>
      <c r="G80" s="30"/>
      <c r="H80" s="30"/>
      <c r="I80" s="30"/>
      <c r="J80" s="30"/>
      <c r="K80" s="30"/>
    </row>
    <row r="81" spans="1:11" ht="36" customHeight="1">
      <c r="A81" s="29" t="s">
        <v>308</v>
      </c>
      <c r="B81" s="29" t="s">
        <v>309</v>
      </c>
      <c r="C81" s="29" t="s">
        <v>310</v>
      </c>
      <c r="D81" s="29" t="s">
        <v>311</v>
      </c>
      <c r="E81" s="29" t="s">
        <v>312</v>
      </c>
      <c r="F81" s="30" t="s">
        <v>19</v>
      </c>
      <c r="G81" s="30" t="s">
        <v>20</v>
      </c>
      <c r="H81" s="30"/>
      <c r="I81" s="30"/>
      <c r="J81" s="30"/>
      <c r="K81" s="30"/>
    </row>
    <row r="82" spans="1:11" ht="36" customHeight="1">
      <c r="A82" s="29" t="s">
        <v>313</v>
      </c>
      <c r="B82" s="29" t="s">
        <v>314</v>
      </c>
      <c r="C82" s="29" t="s">
        <v>315</v>
      </c>
      <c r="D82" s="29" t="s">
        <v>316</v>
      </c>
      <c r="E82" s="29" t="s">
        <v>317</v>
      </c>
      <c r="F82" s="30"/>
      <c r="G82" s="30" t="s">
        <v>186</v>
      </c>
      <c r="H82" s="30"/>
      <c r="I82" s="30"/>
      <c r="J82" s="30"/>
      <c r="K82" s="30"/>
    </row>
    <row r="83" spans="1:11" ht="36" customHeight="1">
      <c r="A83" s="29" t="s">
        <v>318</v>
      </c>
      <c r="B83" s="29" t="s">
        <v>314</v>
      </c>
      <c r="C83" s="29" t="s">
        <v>319</v>
      </c>
      <c r="D83" s="29" t="s">
        <v>316</v>
      </c>
      <c r="E83" s="29" t="s">
        <v>317</v>
      </c>
      <c r="F83" s="30"/>
      <c r="G83" s="30" t="s">
        <v>186</v>
      </c>
      <c r="H83" s="30"/>
      <c r="I83" s="30"/>
      <c r="J83" s="30"/>
      <c r="K83" s="30"/>
    </row>
    <row r="84" spans="1:11" ht="36" customHeight="1">
      <c r="A84" s="29" t="s">
        <v>320</v>
      </c>
      <c r="B84" s="29" t="s">
        <v>321</v>
      </c>
      <c r="C84" s="29" t="s">
        <v>322</v>
      </c>
      <c r="D84" s="29" t="s">
        <v>323</v>
      </c>
      <c r="E84" s="29" t="s">
        <v>74</v>
      </c>
      <c r="F84" s="30" t="s">
        <v>19</v>
      </c>
      <c r="G84" s="30" t="s">
        <v>324</v>
      </c>
      <c r="H84" s="30"/>
      <c r="I84" s="30"/>
      <c r="J84" s="30"/>
      <c r="K84" s="30"/>
    </row>
    <row r="85" spans="1:11" ht="36" customHeight="1">
      <c r="A85" s="29" t="s">
        <v>325</v>
      </c>
      <c r="B85" s="29" t="s">
        <v>233</v>
      </c>
      <c r="C85" s="29" t="s">
        <v>326</v>
      </c>
      <c r="D85" s="29" t="s">
        <v>235</v>
      </c>
      <c r="E85" s="29" t="s">
        <v>14</v>
      </c>
      <c r="F85" s="30" t="s">
        <v>19</v>
      </c>
      <c r="G85" s="30" t="s">
        <v>170</v>
      </c>
      <c r="H85" s="30"/>
      <c r="I85" s="30"/>
      <c r="J85" s="30"/>
      <c r="K85" s="30"/>
    </row>
    <row r="86" spans="1:11" ht="36" customHeight="1">
      <c r="A86" s="29" t="s">
        <v>327</v>
      </c>
      <c r="B86" s="29" t="s">
        <v>328</v>
      </c>
      <c r="C86" s="29" t="s">
        <v>329</v>
      </c>
      <c r="D86" s="29" t="s">
        <v>330</v>
      </c>
      <c r="E86" s="29" t="s">
        <v>317</v>
      </c>
      <c r="F86" s="30" t="s">
        <v>33</v>
      </c>
      <c r="G86" s="30"/>
      <c r="H86" s="30"/>
      <c r="I86" s="30"/>
      <c r="J86" s="30"/>
      <c r="K86" s="30"/>
    </row>
    <row r="87" spans="1:11" ht="36" customHeight="1">
      <c r="A87" s="29" t="s">
        <v>331</v>
      </c>
      <c r="B87" s="29" t="s">
        <v>332</v>
      </c>
      <c r="C87" s="29" t="s">
        <v>333</v>
      </c>
      <c r="D87" s="29" t="s">
        <v>334</v>
      </c>
      <c r="E87" s="29" t="s">
        <v>74</v>
      </c>
      <c r="F87" s="30" t="s">
        <v>19</v>
      </c>
      <c r="G87" s="30"/>
      <c r="H87" s="30"/>
      <c r="I87" s="30"/>
      <c r="J87" s="30"/>
      <c r="K87" s="30"/>
    </row>
    <row r="88" spans="1:11" ht="36" customHeight="1">
      <c r="A88" s="29" t="s">
        <v>335</v>
      </c>
      <c r="B88" s="29" t="s">
        <v>336</v>
      </c>
      <c r="C88" s="29" t="s">
        <v>337</v>
      </c>
      <c r="D88" s="29" t="s">
        <v>338</v>
      </c>
      <c r="E88" s="29" t="s">
        <v>69</v>
      </c>
      <c r="F88" s="30"/>
      <c r="G88" s="30" t="s">
        <v>339</v>
      </c>
      <c r="H88" s="30"/>
      <c r="I88" s="30"/>
      <c r="J88" s="30" t="s">
        <v>1129</v>
      </c>
      <c r="K88" s="30"/>
    </row>
    <row r="89" spans="1:11" ht="36" customHeight="1">
      <c r="A89" s="29" t="s">
        <v>340</v>
      </c>
      <c r="B89" s="29" t="s">
        <v>336</v>
      </c>
      <c r="C89" s="29" t="s">
        <v>341</v>
      </c>
      <c r="D89" s="29" t="s">
        <v>338</v>
      </c>
      <c r="E89" s="29" t="s">
        <v>69</v>
      </c>
      <c r="F89" s="30"/>
      <c r="G89" s="30" t="s">
        <v>342</v>
      </c>
      <c r="H89" s="31">
        <v>0.5</v>
      </c>
      <c r="I89" s="30"/>
      <c r="J89" s="30" t="s">
        <v>1159</v>
      </c>
      <c r="K89" s="30"/>
    </row>
    <row r="90" spans="1:11" ht="36" customHeight="1">
      <c r="A90" s="29" t="s">
        <v>343</v>
      </c>
      <c r="B90" s="29" t="s">
        <v>336</v>
      </c>
      <c r="C90" s="29" t="s">
        <v>344</v>
      </c>
      <c r="D90" s="29" t="s">
        <v>338</v>
      </c>
      <c r="E90" s="29" t="s">
        <v>69</v>
      </c>
      <c r="F90" s="30" t="s">
        <v>33</v>
      </c>
      <c r="G90" s="30" t="s">
        <v>236</v>
      </c>
      <c r="H90" s="31">
        <v>0.8</v>
      </c>
      <c r="I90" s="30"/>
      <c r="J90" s="30"/>
      <c r="K90" s="30"/>
    </row>
    <row r="91" spans="1:11" ht="36" customHeight="1">
      <c r="A91" s="29" t="s">
        <v>345</v>
      </c>
      <c r="B91" s="29" t="s">
        <v>346</v>
      </c>
      <c r="C91" s="29" t="s">
        <v>347</v>
      </c>
      <c r="D91" s="29" t="s">
        <v>348</v>
      </c>
      <c r="E91" s="29" t="s">
        <v>164</v>
      </c>
      <c r="F91" s="30"/>
      <c r="G91" s="30"/>
      <c r="H91" s="30"/>
      <c r="I91" s="30"/>
      <c r="J91" s="30"/>
      <c r="K91" s="30"/>
    </row>
    <row r="92" spans="1:11" ht="36" customHeight="1">
      <c r="A92" s="29" t="s">
        <v>349</v>
      </c>
      <c r="B92" s="29" t="s">
        <v>346</v>
      </c>
      <c r="C92" s="29" t="s">
        <v>350</v>
      </c>
      <c r="D92" s="29" t="s">
        <v>348</v>
      </c>
      <c r="E92" s="29" t="s">
        <v>164</v>
      </c>
      <c r="F92" s="41" t="s">
        <v>1160</v>
      </c>
      <c r="G92" s="30" t="s">
        <v>165</v>
      </c>
      <c r="H92" s="31">
        <v>0.55000000000000004</v>
      </c>
      <c r="I92" s="30"/>
      <c r="J92" s="30" t="s">
        <v>1159</v>
      </c>
      <c r="K92" s="30"/>
    </row>
    <row r="93" spans="1:11" ht="36" customHeight="1">
      <c r="A93" s="29" t="s">
        <v>351</v>
      </c>
      <c r="B93" s="29" t="s">
        <v>346</v>
      </c>
      <c r="C93" s="29" t="s">
        <v>352</v>
      </c>
      <c r="D93" s="29" t="s">
        <v>348</v>
      </c>
      <c r="E93" s="29" t="s">
        <v>164</v>
      </c>
      <c r="F93" s="30" t="s">
        <v>15</v>
      </c>
      <c r="G93" s="30" t="s">
        <v>213</v>
      </c>
      <c r="H93" s="30"/>
      <c r="I93" s="30"/>
      <c r="J93" s="30"/>
      <c r="K93" s="30"/>
    </row>
    <row r="94" spans="1:11" ht="36" customHeight="1">
      <c r="A94" s="29" t="s">
        <v>353</v>
      </c>
      <c r="B94" s="29" t="s">
        <v>346</v>
      </c>
      <c r="C94" s="29" t="s">
        <v>354</v>
      </c>
      <c r="D94" s="29" t="s">
        <v>348</v>
      </c>
      <c r="E94" s="29" t="s">
        <v>164</v>
      </c>
      <c r="F94" s="30" t="s">
        <v>15</v>
      </c>
      <c r="G94" s="30" t="s">
        <v>254</v>
      </c>
      <c r="H94" s="31">
        <v>0.39</v>
      </c>
      <c r="I94" s="30"/>
      <c r="J94" s="30" t="s">
        <v>1147</v>
      </c>
      <c r="K94" s="30"/>
    </row>
    <row r="95" spans="1:11" ht="36" customHeight="1">
      <c r="A95" s="29" t="s">
        <v>355</v>
      </c>
      <c r="B95" s="29" t="s">
        <v>356</v>
      </c>
      <c r="C95" s="29" t="s">
        <v>357</v>
      </c>
      <c r="D95" s="29" t="s">
        <v>358</v>
      </c>
      <c r="E95" s="29" t="s">
        <v>32</v>
      </c>
      <c r="F95" s="30" t="s">
        <v>123</v>
      </c>
      <c r="G95" s="30"/>
      <c r="H95" s="31">
        <v>0.9</v>
      </c>
      <c r="I95" s="30"/>
      <c r="J95" s="30"/>
      <c r="K95" s="30"/>
    </row>
    <row r="96" spans="1:11" ht="36" customHeight="1">
      <c r="A96" s="29" t="s">
        <v>359</v>
      </c>
      <c r="B96" s="29" t="s">
        <v>360</v>
      </c>
      <c r="C96" s="29" t="s">
        <v>361</v>
      </c>
      <c r="D96" s="29" t="s">
        <v>362</v>
      </c>
      <c r="E96" s="29" t="s">
        <v>85</v>
      </c>
      <c r="F96" s="30" t="s">
        <v>15</v>
      </c>
      <c r="G96" s="30" t="s">
        <v>363</v>
      </c>
      <c r="H96" s="31">
        <v>0.5</v>
      </c>
      <c r="I96" s="30"/>
      <c r="J96" s="30"/>
      <c r="K96" s="30"/>
    </row>
    <row r="97" spans="1:11" ht="36" customHeight="1">
      <c r="A97" s="29" t="s">
        <v>364</v>
      </c>
      <c r="B97" s="29" t="s">
        <v>365</v>
      </c>
      <c r="C97" s="29" t="s">
        <v>366</v>
      </c>
      <c r="D97" s="29" t="s">
        <v>367</v>
      </c>
      <c r="E97" s="29" t="s">
        <v>69</v>
      </c>
      <c r="F97" s="30" t="s">
        <v>248</v>
      </c>
      <c r="G97" s="30" t="s">
        <v>236</v>
      </c>
      <c r="H97" s="31">
        <v>0.7</v>
      </c>
      <c r="I97" s="30"/>
      <c r="J97" s="30" t="s">
        <v>1145</v>
      </c>
      <c r="K97" s="30"/>
    </row>
    <row r="98" spans="1:11" ht="48" customHeight="1">
      <c r="A98" s="29" t="s">
        <v>368</v>
      </c>
      <c r="B98" s="29" t="s">
        <v>369</v>
      </c>
      <c r="C98" s="29" t="s">
        <v>370</v>
      </c>
      <c r="D98" s="29" t="s">
        <v>371</v>
      </c>
      <c r="E98" s="29" t="s">
        <v>372</v>
      </c>
      <c r="F98" s="30" t="s">
        <v>15</v>
      </c>
      <c r="G98" s="30" t="s">
        <v>20</v>
      </c>
      <c r="H98" s="30"/>
      <c r="I98" s="30"/>
      <c r="J98" s="30"/>
      <c r="K98" s="30"/>
    </row>
    <row r="99" spans="1:11" ht="36" customHeight="1">
      <c r="A99" s="29" t="s">
        <v>373</v>
      </c>
      <c r="B99" s="29" t="s">
        <v>374</v>
      </c>
      <c r="C99" s="29" t="s">
        <v>375</v>
      </c>
      <c r="D99" s="29" t="s">
        <v>376</v>
      </c>
      <c r="E99" s="29" t="s">
        <v>377</v>
      </c>
      <c r="F99" s="30" t="s">
        <v>33</v>
      </c>
      <c r="G99" s="30" t="s">
        <v>20</v>
      </c>
      <c r="H99" s="31">
        <v>0.6</v>
      </c>
      <c r="I99" s="30"/>
      <c r="J99" s="30" t="s">
        <v>1130</v>
      </c>
      <c r="K99" s="30"/>
    </row>
    <row r="100" spans="1:11" ht="36" customHeight="1">
      <c r="A100" s="29" t="s">
        <v>378</v>
      </c>
      <c r="B100" s="29" t="s">
        <v>374</v>
      </c>
      <c r="C100" s="29" t="s">
        <v>1119</v>
      </c>
      <c r="D100" s="29" t="s">
        <v>376</v>
      </c>
      <c r="E100" s="29" t="s">
        <v>377</v>
      </c>
      <c r="F100" s="30" t="s">
        <v>33</v>
      </c>
      <c r="G100" s="30" t="s">
        <v>75</v>
      </c>
      <c r="H100" s="31">
        <v>0.9</v>
      </c>
      <c r="I100" s="30"/>
      <c r="J100" s="30" t="s">
        <v>1131</v>
      </c>
      <c r="K100" s="30"/>
    </row>
    <row r="101" spans="1:11" ht="36" customHeight="1">
      <c r="A101" s="29" t="s">
        <v>379</v>
      </c>
      <c r="B101" s="29" t="s">
        <v>374</v>
      </c>
      <c r="C101" s="29" t="s">
        <v>380</v>
      </c>
      <c r="D101" s="29" t="s">
        <v>376</v>
      </c>
      <c r="E101" s="29" t="s">
        <v>377</v>
      </c>
      <c r="F101" s="30"/>
      <c r="G101" s="30" t="s">
        <v>381</v>
      </c>
      <c r="H101" s="31">
        <v>0.9</v>
      </c>
      <c r="I101" s="30"/>
      <c r="J101" s="30" t="s">
        <v>1132</v>
      </c>
      <c r="K101" s="30"/>
    </row>
    <row r="102" spans="1:11" ht="36" customHeight="1">
      <c r="A102" s="29" t="s">
        <v>382</v>
      </c>
      <c r="B102" s="29" t="s">
        <v>383</v>
      </c>
      <c r="C102" s="29" t="s">
        <v>384</v>
      </c>
      <c r="D102" s="29" t="s">
        <v>385</v>
      </c>
      <c r="E102" s="29" t="s">
        <v>241</v>
      </c>
      <c r="F102" s="30" t="s">
        <v>33</v>
      </c>
      <c r="G102" s="30" t="s">
        <v>48</v>
      </c>
      <c r="H102" s="30"/>
      <c r="I102" s="30"/>
      <c r="J102" s="30"/>
      <c r="K102" s="30"/>
    </row>
    <row r="103" spans="1:11" ht="36" customHeight="1">
      <c r="A103" s="29" t="s">
        <v>386</v>
      </c>
      <c r="B103" s="29" t="s">
        <v>387</v>
      </c>
      <c r="C103" s="29" t="s">
        <v>388</v>
      </c>
      <c r="D103" s="29" t="s">
        <v>389</v>
      </c>
      <c r="E103" s="29" t="s">
        <v>85</v>
      </c>
      <c r="F103" s="30"/>
      <c r="G103" s="30" t="s">
        <v>390</v>
      </c>
      <c r="H103" s="30"/>
      <c r="I103" s="30"/>
      <c r="J103" s="30" t="s">
        <v>1155</v>
      </c>
      <c r="K103" s="30"/>
    </row>
    <row r="104" spans="1:11" ht="36" customHeight="1">
      <c r="A104" s="29" t="s">
        <v>391</v>
      </c>
      <c r="B104" s="29" t="s">
        <v>392</v>
      </c>
      <c r="C104" s="29" t="s">
        <v>393</v>
      </c>
      <c r="D104" s="29" t="s">
        <v>394</v>
      </c>
      <c r="E104" s="29" t="s">
        <v>395</v>
      </c>
      <c r="F104" s="30" t="s">
        <v>19</v>
      </c>
      <c r="G104" s="30" t="s">
        <v>20</v>
      </c>
      <c r="H104" s="30"/>
      <c r="I104" s="30"/>
      <c r="J104" s="30"/>
      <c r="K104" s="30"/>
    </row>
    <row r="105" spans="1:11" ht="36" customHeight="1">
      <c r="A105" s="29" t="s">
        <v>396</v>
      </c>
      <c r="B105" s="29" t="s">
        <v>392</v>
      </c>
      <c r="C105" s="29" t="s">
        <v>397</v>
      </c>
      <c r="D105" s="29" t="s">
        <v>394</v>
      </c>
      <c r="E105" s="29" t="s">
        <v>395</v>
      </c>
      <c r="F105" s="30" t="s">
        <v>114</v>
      </c>
      <c r="G105" s="30" t="s">
        <v>20</v>
      </c>
      <c r="H105" s="30"/>
      <c r="I105" s="30"/>
      <c r="J105" s="30"/>
      <c r="K105" s="30"/>
    </row>
    <row r="106" spans="1:11" ht="36" customHeight="1">
      <c r="A106" s="29" t="s">
        <v>398</v>
      </c>
      <c r="B106" s="29" t="s">
        <v>399</v>
      </c>
      <c r="C106" s="29" t="s">
        <v>400</v>
      </c>
      <c r="D106" s="29" t="s">
        <v>401</v>
      </c>
      <c r="E106" s="29" t="s">
        <v>402</v>
      </c>
      <c r="F106" s="30" t="s">
        <v>19</v>
      </c>
      <c r="G106" s="30" t="s">
        <v>186</v>
      </c>
      <c r="H106" s="30"/>
      <c r="I106" s="30"/>
      <c r="J106" s="30"/>
      <c r="K106" s="30"/>
    </row>
    <row r="107" spans="1:11" ht="36" customHeight="1">
      <c r="A107" s="29" t="s">
        <v>403</v>
      </c>
      <c r="B107" s="29" t="s">
        <v>404</v>
      </c>
      <c r="C107" s="29" t="s">
        <v>405</v>
      </c>
      <c r="D107" s="29" t="s">
        <v>406</v>
      </c>
      <c r="E107" s="29" t="s">
        <v>407</v>
      </c>
      <c r="F107" s="30" t="s">
        <v>19</v>
      </c>
      <c r="G107" s="30"/>
      <c r="H107" s="31">
        <v>0.55000000000000004</v>
      </c>
      <c r="I107" s="30"/>
      <c r="J107" s="30" t="s">
        <v>1134</v>
      </c>
      <c r="K107" s="30"/>
    </row>
    <row r="108" spans="1:11" ht="36" customHeight="1">
      <c r="A108" s="29" t="s">
        <v>408</v>
      </c>
      <c r="B108" s="29" t="s">
        <v>409</v>
      </c>
      <c r="C108" s="29" t="s">
        <v>410</v>
      </c>
      <c r="D108" s="29" t="s">
        <v>411</v>
      </c>
      <c r="E108" s="29" t="s">
        <v>85</v>
      </c>
      <c r="F108" s="30" t="s">
        <v>15</v>
      </c>
      <c r="G108" s="40" t="s">
        <v>1122</v>
      </c>
      <c r="H108" s="31">
        <v>0.5</v>
      </c>
      <c r="I108" s="30"/>
      <c r="J108" s="30" t="s">
        <v>1144</v>
      </c>
      <c r="K108" s="30"/>
    </row>
    <row r="109" spans="1:11" ht="36" customHeight="1">
      <c r="A109" s="29" t="s">
        <v>412</v>
      </c>
      <c r="B109" s="29" t="s">
        <v>409</v>
      </c>
      <c r="C109" s="29" t="s">
        <v>413</v>
      </c>
      <c r="D109" s="29" t="s">
        <v>411</v>
      </c>
      <c r="E109" s="29" t="s">
        <v>85</v>
      </c>
      <c r="F109" s="30" t="s">
        <v>15</v>
      </c>
      <c r="G109" s="30" t="s">
        <v>414</v>
      </c>
      <c r="H109" s="30"/>
      <c r="I109" s="30"/>
      <c r="J109" s="30"/>
      <c r="K109" s="30"/>
    </row>
    <row r="110" spans="1:11" ht="36" customHeight="1">
      <c r="A110" s="29" t="s">
        <v>415</v>
      </c>
      <c r="B110" s="29" t="s">
        <v>416</v>
      </c>
      <c r="C110" s="38" t="s">
        <v>1126</v>
      </c>
      <c r="D110" s="29" t="s">
        <v>89</v>
      </c>
      <c r="E110" s="29" t="s">
        <v>90</v>
      </c>
      <c r="F110" s="30" t="s">
        <v>19</v>
      </c>
      <c r="G110" s="30" t="s">
        <v>1128</v>
      </c>
      <c r="H110" s="31">
        <v>0.55000000000000004</v>
      </c>
      <c r="I110" s="30"/>
      <c r="J110" s="30" t="s">
        <v>1145</v>
      </c>
      <c r="K110" s="30"/>
    </row>
    <row r="111" spans="1:11" ht="36" customHeight="1">
      <c r="A111" s="29" t="s">
        <v>417</v>
      </c>
      <c r="B111" s="29" t="s">
        <v>416</v>
      </c>
      <c r="C111" s="42" t="s">
        <v>1127</v>
      </c>
      <c r="D111" s="29" t="s">
        <v>89</v>
      </c>
      <c r="E111" s="29" t="s">
        <v>90</v>
      </c>
      <c r="F111" s="30" t="s">
        <v>19</v>
      </c>
      <c r="G111" s="41" t="s">
        <v>1124</v>
      </c>
      <c r="H111" s="31">
        <v>0.55000000000000004</v>
      </c>
      <c r="I111" s="30"/>
      <c r="J111" s="30" t="s">
        <v>1143</v>
      </c>
      <c r="K111" s="30"/>
    </row>
    <row r="112" spans="1:11" ht="36" customHeight="1">
      <c r="A112" s="29" t="s">
        <v>418</v>
      </c>
      <c r="B112" s="29" t="s">
        <v>419</v>
      </c>
      <c r="C112" s="29" t="s">
        <v>420</v>
      </c>
      <c r="D112" s="29" t="s">
        <v>421</v>
      </c>
      <c r="E112" s="29" t="s">
        <v>422</v>
      </c>
      <c r="F112" s="30" t="s">
        <v>248</v>
      </c>
      <c r="G112" s="30" t="s">
        <v>186</v>
      </c>
      <c r="H112" s="30"/>
      <c r="I112" s="30"/>
      <c r="J112" s="30"/>
      <c r="K112" s="30"/>
    </row>
    <row r="113" spans="1:11" ht="36" customHeight="1">
      <c r="A113" s="29" t="s">
        <v>423</v>
      </c>
      <c r="B113" s="29" t="s">
        <v>419</v>
      </c>
      <c r="C113" s="29" t="s">
        <v>424</v>
      </c>
      <c r="D113" s="29" t="s">
        <v>421</v>
      </c>
      <c r="E113" s="29" t="s">
        <v>422</v>
      </c>
      <c r="F113" s="30" t="s">
        <v>248</v>
      </c>
      <c r="G113" s="30" t="s">
        <v>20</v>
      </c>
      <c r="H113" s="30"/>
      <c r="I113" s="30"/>
      <c r="J113" s="30"/>
      <c r="K113" s="30"/>
    </row>
    <row r="114" spans="1:11" ht="36" customHeight="1">
      <c r="A114" s="29" t="s">
        <v>425</v>
      </c>
      <c r="B114" s="29" t="s">
        <v>426</v>
      </c>
      <c r="C114" s="29" t="s">
        <v>427</v>
      </c>
      <c r="D114" s="29" t="s">
        <v>428</v>
      </c>
      <c r="E114" s="29" t="s">
        <v>204</v>
      </c>
      <c r="F114" s="30" t="s">
        <v>19</v>
      </c>
      <c r="G114" s="30"/>
      <c r="H114" s="30"/>
      <c r="I114" s="30"/>
      <c r="J114" s="30"/>
      <c r="K114" s="30"/>
    </row>
    <row r="115" spans="1:11" ht="36" customHeight="1">
      <c r="A115" s="29" t="s">
        <v>429</v>
      </c>
      <c r="B115" s="29" t="s">
        <v>430</v>
      </c>
      <c r="C115" s="29" t="s">
        <v>431</v>
      </c>
      <c r="D115" s="29" t="s">
        <v>432</v>
      </c>
      <c r="E115" s="29" t="s">
        <v>433</v>
      </c>
      <c r="F115" s="30" t="s">
        <v>19</v>
      </c>
      <c r="G115" s="30" t="s">
        <v>434</v>
      </c>
      <c r="H115" s="30"/>
      <c r="I115" s="30"/>
      <c r="J115" s="30"/>
      <c r="K115" s="30"/>
    </row>
    <row r="116" spans="1:11" ht="36" customHeight="1">
      <c r="A116" s="29" t="s">
        <v>435</v>
      </c>
      <c r="B116" s="29" t="s">
        <v>436</v>
      </c>
      <c r="C116" s="29" t="s">
        <v>437</v>
      </c>
      <c r="D116" s="29" t="s">
        <v>438</v>
      </c>
      <c r="E116" s="29" t="s">
        <v>439</v>
      </c>
      <c r="F116" s="30" t="s">
        <v>15</v>
      </c>
      <c r="G116" s="30" t="s">
        <v>20</v>
      </c>
      <c r="H116" s="30"/>
      <c r="I116" s="30"/>
      <c r="J116" s="30"/>
      <c r="K116" s="30"/>
    </row>
    <row r="117" spans="1:11" ht="36" customHeight="1">
      <c r="A117" s="29" t="s">
        <v>440</v>
      </c>
      <c r="B117" s="29" t="s">
        <v>441</v>
      </c>
      <c r="C117" s="29" t="s">
        <v>442</v>
      </c>
      <c r="D117" s="29" t="s">
        <v>443</v>
      </c>
      <c r="E117" s="29" t="s">
        <v>184</v>
      </c>
      <c r="F117" s="30" t="s">
        <v>19</v>
      </c>
      <c r="G117" s="30" t="s">
        <v>186</v>
      </c>
      <c r="H117" s="30"/>
      <c r="I117" s="30" t="s">
        <v>1123</v>
      </c>
      <c r="J117" s="30" t="s">
        <v>1134</v>
      </c>
      <c r="K117" s="30"/>
    </row>
    <row r="118" spans="1:11" ht="36" customHeight="1">
      <c r="A118" s="29" t="s">
        <v>444</v>
      </c>
      <c r="B118" s="29" t="s">
        <v>441</v>
      </c>
      <c r="C118" s="29" t="s">
        <v>445</v>
      </c>
      <c r="D118" s="29" t="s">
        <v>443</v>
      </c>
      <c r="E118" s="29" t="s">
        <v>184</v>
      </c>
      <c r="F118" s="30" t="s">
        <v>19</v>
      </c>
      <c r="G118" s="30" t="s">
        <v>186</v>
      </c>
      <c r="H118" s="30"/>
      <c r="I118" s="30"/>
      <c r="J118" s="30"/>
      <c r="K118" s="30"/>
    </row>
    <row r="119" spans="1:11" ht="36" customHeight="1">
      <c r="A119" s="29" t="s">
        <v>446</v>
      </c>
      <c r="B119" s="29" t="s">
        <v>441</v>
      </c>
      <c r="C119" s="29" t="s">
        <v>447</v>
      </c>
      <c r="D119" s="29" t="s">
        <v>443</v>
      </c>
      <c r="E119" s="29" t="s">
        <v>184</v>
      </c>
      <c r="F119" s="30"/>
      <c r="G119" s="30"/>
      <c r="H119" s="30"/>
      <c r="I119" s="30"/>
      <c r="J119" s="30"/>
      <c r="K119" s="30"/>
    </row>
    <row r="120" spans="1:11" ht="36" customHeight="1">
      <c r="A120" s="29" t="s">
        <v>448</v>
      </c>
      <c r="B120" s="29" t="s">
        <v>441</v>
      </c>
      <c r="C120" s="29" t="s">
        <v>449</v>
      </c>
      <c r="D120" s="29" t="s">
        <v>443</v>
      </c>
      <c r="E120" s="29" t="s">
        <v>184</v>
      </c>
      <c r="F120" s="30"/>
      <c r="G120" s="30"/>
      <c r="H120" s="30"/>
      <c r="I120" s="30"/>
      <c r="J120" s="30"/>
      <c r="K120" s="30"/>
    </row>
    <row r="121" spans="1:11" ht="48" customHeight="1">
      <c r="A121" s="29" t="s">
        <v>450</v>
      </c>
      <c r="B121" s="29" t="s">
        <v>441</v>
      </c>
      <c r="C121" s="29" t="s">
        <v>451</v>
      </c>
      <c r="D121" s="29" t="s">
        <v>443</v>
      </c>
      <c r="E121" s="29" t="s">
        <v>184</v>
      </c>
      <c r="F121" s="30" t="s">
        <v>19</v>
      </c>
      <c r="G121" s="30" t="s">
        <v>452</v>
      </c>
      <c r="H121" s="30"/>
      <c r="I121" s="30"/>
      <c r="J121" s="30"/>
      <c r="K121" s="30"/>
    </row>
    <row r="122" spans="1:11" ht="36" customHeight="1">
      <c r="A122" s="29" t="s">
        <v>453</v>
      </c>
      <c r="B122" s="29" t="s">
        <v>441</v>
      </c>
      <c r="C122" s="29" t="s">
        <v>454</v>
      </c>
      <c r="D122" s="29" t="s">
        <v>443</v>
      </c>
      <c r="E122" s="29" t="s">
        <v>184</v>
      </c>
      <c r="F122" s="30" t="s">
        <v>15</v>
      </c>
      <c r="G122" s="40" t="s">
        <v>1125</v>
      </c>
      <c r="H122" s="30"/>
      <c r="I122" s="30" t="s">
        <v>1123</v>
      </c>
      <c r="J122" s="30">
        <v>2026.03</v>
      </c>
      <c r="K122" s="30"/>
    </row>
    <row r="123" spans="1:11" ht="36" customHeight="1">
      <c r="A123" s="29" t="s">
        <v>455</v>
      </c>
      <c r="B123" s="29" t="s">
        <v>456</v>
      </c>
      <c r="C123" s="29" t="s">
        <v>114</v>
      </c>
      <c r="D123" s="29" t="s">
        <v>457</v>
      </c>
      <c r="E123" s="29" t="s">
        <v>402</v>
      </c>
      <c r="F123" s="30" t="s">
        <v>114</v>
      </c>
      <c r="G123" s="30" t="s">
        <v>20</v>
      </c>
      <c r="H123" s="30"/>
      <c r="I123" s="30"/>
      <c r="J123" s="30"/>
      <c r="K123" s="30"/>
    </row>
    <row r="124" spans="1:11" ht="36" customHeight="1">
      <c r="A124" s="29" t="s">
        <v>458</v>
      </c>
      <c r="B124" s="29" t="s">
        <v>459</v>
      </c>
      <c r="C124" s="29" t="s">
        <v>460</v>
      </c>
      <c r="D124" s="29" t="s">
        <v>461</v>
      </c>
      <c r="E124" s="29" t="s">
        <v>85</v>
      </c>
      <c r="F124" s="30"/>
      <c r="G124" s="30"/>
      <c r="H124" s="30"/>
      <c r="I124" s="30"/>
      <c r="J124" s="30"/>
      <c r="K124" s="30"/>
    </row>
    <row r="125" spans="1:11" ht="36" customHeight="1">
      <c r="A125" s="29" t="s">
        <v>462</v>
      </c>
      <c r="B125" s="29" t="s">
        <v>463</v>
      </c>
      <c r="C125" s="29" t="s">
        <v>464</v>
      </c>
      <c r="D125" s="29" t="s">
        <v>183</v>
      </c>
      <c r="E125" s="29" t="s">
        <v>184</v>
      </c>
      <c r="F125" s="30" t="s">
        <v>114</v>
      </c>
      <c r="G125" s="30" t="s">
        <v>20</v>
      </c>
      <c r="H125" s="30"/>
      <c r="I125" s="30"/>
      <c r="J125" s="30"/>
      <c r="K125" s="30"/>
    </row>
    <row r="126" spans="1:11" ht="36" customHeight="1">
      <c r="A126" s="29" t="s">
        <v>465</v>
      </c>
      <c r="B126" s="29" t="s">
        <v>466</v>
      </c>
      <c r="C126" s="29" t="s">
        <v>467</v>
      </c>
      <c r="D126" s="29" t="s">
        <v>468</v>
      </c>
      <c r="E126" s="29" t="s">
        <v>407</v>
      </c>
      <c r="F126" s="30" t="s">
        <v>19</v>
      </c>
      <c r="G126" s="30"/>
      <c r="H126" s="30"/>
      <c r="I126" s="30"/>
      <c r="J126" s="30" t="s">
        <v>1131</v>
      </c>
      <c r="K126" s="30"/>
    </row>
    <row r="127" spans="1:11" ht="36" customHeight="1">
      <c r="A127" s="29" t="s">
        <v>469</v>
      </c>
      <c r="B127" s="29" t="s">
        <v>470</v>
      </c>
      <c r="C127" s="29" t="s">
        <v>471</v>
      </c>
      <c r="D127" s="29" t="s">
        <v>472</v>
      </c>
      <c r="E127" s="29" t="s">
        <v>14</v>
      </c>
      <c r="F127" s="30" t="s">
        <v>19</v>
      </c>
      <c r="G127" s="30"/>
      <c r="H127" s="30"/>
      <c r="I127" s="30"/>
      <c r="J127" s="30"/>
      <c r="K127" s="30"/>
    </row>
    <row r="128" spans="1:11" ht="36" customHeight="1">
      <c r="A128" s="29" t="s">
        <v>473</v>
      </c>
      <c r="B128" s="29" t="s">
        <v>474</v>
      </c>
      <c r="C128" s="29" t="s">
        <v>471</v>
      </c>
      <c r="D128" s="29" t="s">
        <v>475</v>
      </c>
      <c r="E128" s="29" t="s">
        <v>476</v>
      </c>
      <c r="F128" s="30" t="s">
        <v>19</v>
      </c>
      <c r="G128" s="30"/>
      <c r="H128" s="30"/>
      <c r="I128" s="30"/>
      <c r="J128" s="30"/>
      <c r="K128" s="30"/>
    </row>
    <row r="129" spans="1:11" ht="36" customHeight="1">
      <c r="A129" s="29" t="s">
        <v>477</v>
      </c>
      <c r="B129" s="29" t="s">
        <v>478</v>
      </c>
      <c r="C129" s="29" t="s">
        <v>471</v>
      </c>
      <c r="D129" s="29" t="s">
        <v>246</v>
      </c>
      <c r="E129" s="29" t="s">
        <v>247</v>
      </c>
      <c r="F129" s="30" t="s">
        <v>19</v>
      </c>
      <c r="G129" s="30"/>
      <c r="H129" s="30"/>
      <c r="I129" s="30"/>
      <c r="J129" s="30"/>
      <c r="K129" s="30"/>
    </row>
    <row r="130" spans="1:11" ht="36" customHeight="1">
      <c r="A130" s="29" t="s">
        <v>479</v>
      </c>
      <c r="B130" s="29" t="s">
        <v>480</v>
      </c>
      <c r="C130" s="29" t="s">
        <v>471</v>
      </c>
      <c r="D130" s="29" t="s">
        <v>481</v>
      </c>
      <c r="E130" s="29" t="s">
        <v>47</v>
      </c>
      <c r="F130" s="30" t="s">
        <v>19</v>
      </c>
      <c r="G130" s="30"/>
      <c r="H130" s="30"/>
      <c r="I130" s="30"/>
      <c r="J130" s="30" t="s">
        <v>1131</v>
      </c>
      <c r="K130" s="30"/>
    </row>
    <row r="131" spans="1:11" ht="36" customHeight="1">
      <c r="A131" s="29" t="s">
        <v>482</v>
      </c>
      <c r="B131" s="29" t="s">
        <v>483</v>
      </c>
      <c r="C131" s="29" t="s">
        <v>484</v>
      </c>
      <c r="D131" s="29" t="s">
        <v>485</v>
      </c>
      <c r="E131" s="29" t="s">
        <v>95</v>
      </c>
      <c r="F131" s="30" t="s">
        <v>19</v>
      </c>
      <c r="G131" s="30" t="s">
        <v>486</v>
      </c>
      <c r="H131" s="30"/>
      <c r="I131" s="30"/>
      <c r="J131" s="30"/>
      <c r="K131" s="30"/>
    </row>
    <row r="132" spans="1:11" ht="36" customHeight="1">
      <c r="A132" s="29" t="s">
        <v>487</v>
      </c>
      <c r="B132" s="29" t="s">
        <v>172</v>
      </c>
      <c r="C132" s="29" t="s">
        <v>488</v>
      </c>
      <c r="D132" s="29" t="s">
        <v>174</v>
      </c>
      <c r="E132" s="29" t="s">
        <v>14</v>
      </c>
      <c r="F132" s="30" t="s">
        <v>15</v>
      </c>
      <c r="G132" s="30" t="s">
        <v>75</v>
      </c>
      <c r="H132" s="30"/>
      <c r="I132" s="30"/>
      <c r="J132" s="30"/>
      <c r="K132" s="30"/>
    </row>
    <row r="133" spans="1:11" ht="36" customHeight="1">
      <c r="A133" s="29" t="s">
        <v>489</v>
      </c>
      <c r="B133" s="29" t="s">
        <v>490</v>
      </c>
      <c r="C133" s="29" t="s">
        <v>491</v>
      </c>
      <c r="D133" s="29" t="s">
        <v>492</v>
      </c>
      <c r="E133" s="29" t="s">
        <v>493</v>
      </c>
      <c r="F133" s="30" t="s">
        <v>15</v>
      </c>
      <c r="G133" s="30"/>
      <c r="H133" s="30"/>
      <c r="I133" s="30"/>
      <c r="J133" s="30" t="s">
        <v>1154</v>
      </c>
      <c r="K133" s="30"/>
    </row>
    <row r="134" spans="1:11" ht="36" customHeight="1">
      <c r="A134" s="29" t="s">
        <v>494</v>
      </c>
      <c r="B134" s="29" t="s">
        <v>495</v>
      </c>
      <c r="C134" s="29" t="s">
        <v>496</v>
      </c>
      <c r="D134" s="29" t="s">
        <v>338</v>
      </c>
      <c r="E134" s="29" t="s">
        <v>69</v>
      </c>
      <c r="F134" s="30"/>
      <c r="G134" s="30" t="s">
        <v>497</v>
      </c>
      <c r="H134" s="30"/>
      <c r="I134" s="30" t="s">
        <v>1149</v>
      </c>
      <c r="J134" s="30" t="s">
        <v>1150</v>
      </c>
      <c r="K134" s="30"/>
    </row>
    <row r="135" spans="1:11" ht="36" customHeight="1">
      <c r="A135" s="29" t="s">
        <v>498</v>
      </c>
      <c r="B135" s="29" t="s">
        <v>499</v>
      </c>
      <c r="C135" s="29" t="s">
        <v>500</v>
      </c>
      <c r="D135" s="29" t="s">
        <v>501</v>
      </c>
      <c r="E135" s="29" t="s">
        <v>32</v>
      </c>
      <c r="F135" s="30" t="s">
        <v>33</v>
      </c>
      <c r="G135" s="30"/>
      <c r="H135" s="31">
        <v>0.7</v>
      </c>
      <c r="I135" s="30"/>
      <c r="J135" s="30" t="s">
        <v>1134</v>
      </c>
      <c r="K135" s="30"/>
    </row>
    <row r="136" spans="1:11" ht="36" customHeight="1">
      <c r="A136" s="29" t="s">
        <v>502</v>
      </c>
      <c r="B136" s="29" t="s">
        <v>503</v>
      </c>
      <c r="C136" s="29" t="s">
        <v>504</v>
      </c>
      <c r="D136" s="29" t="s">
        <v>505</v>
      </c>
      <c r="E136" s="29" t="s">
        <v>14</v>
      </c>
      <c r="F136" s="30" t="s">
        <v>15</v>
      </c>
      <c r="G136" s="30" t="s">
        <v>26</v>
      </c>
      <c r="H136" s="31">
        <v>0.35</v>
      </c>
      <c r="I136" s="30"/>
      <c r="J136" s="30" t="s">
        <v>1153</v>
      </c>
      <c r="K136" s="30"/>
    </row>
    <row r="137" spans="1:11" ht="36" customHeight="1">
      <c r="A137" s="29" t="s">
        <v>506</v>
      </c>
      <c r="B137" s="29" t="s">
        <v>503</v>
      </c>
      <c r="C137" s="29" t="s">
        <v>507</v>
      </c>
      <c r="D137" s="29" t="s">
        <v>505</v>
      </c>
      <c r="E137" s="29" t="s">
        <v>14</v>
      </c>
      <c r="F137" s="30" t="s">
        <v>15</v>
      </c>
      <c r="G137" s="30" t="s">
        <v>26</v>
      </c>
      <c r="H137" s="30"/>
      <c r="I137" s="30"/>
      <c r="J137" s="30"/>
      <c r="K137" s="30"/>
    </row>
    <row r="138" spans="1:11" ht="36" customHeight="1">
      <c r="A138" s="29" t="s">
        <v>508</v>
      </c>
      <c r="B138" s="29" t="s">
        <v>503</v>
      </c>
      <c r="C138" s="29" t="s">
        <v>509</v>
      </c>
      <c r="D138" s="29" t="s">
        <v>505</v>
      </c>
      <c r="E138" s="29" t="s">
        <v>14</v>
      </c>
      <c r="F138" s="30" t="s">
        <v>15</v>
      </c>
      <c r="G138" s="30" t="s">
        <v>170</v>
      </c>
      <c r="H138" s="30"/>
      <c r="I138" s="30"/>
      <c r="J138" s="30"/>
      <c r="K138" s="30"/>
    </row>
    <row r="139" spans="1:11" ht="36" customHeight="1">
      <c r="A139" s="29" t="s">
        <v>510</v>
      </c>
      <c r="B139" s="29" t="s">
        <v>511</v>
      </c>
      <c r="C139" s="29" t="s">
        <v>512</v>
      </c>
      <c r="D139" s="29" t="s">
        <v>513</v>
      </c>
      <c r="E139" s="29" t="s">
        <v>164</v>
      </c>
      <c r="F139" s="30"/>
      <c r="G139" s="30" t="s">
        <v>213</v>
      </c>
      <c r="H139" s="31">
        <v>0.59</v>
      </c>
      <c r="I139" s="30" t="s">
        <v>1123</v>
      </c>
      <c r="J139" s="30" t="s">
        <v>1131</v>
      </c>
      <c r="K139" s="30"/>
    </row>
    <row r="140" spans="1:11" ht="36" customHeight="1">
      <c r="A140" s="29" t="s">
        <v>514</v>
      </c>
      <c r="B140" s="29" t="s">
        <v>515</v>
      </c>
      <c r="C140" s="29" t="s">
        <v>516</v>
      </c>
      <c r="D140" s="29" t="s">
        <v>517</v>
      </c>
      <c r="E140" s="29" t="s">
        <v>241</v>
      </c>
      <c r="F140" s="30" t="s">
        <v>15</v>
      </c>
      <c r="G140" s="30" t="s">
        <v>518</v>
      </c>
      <c r="H140" s="31">
        <v>0.35</v>
      </c>
      <c r="I140" s="30"/>
      <c r="J140" s="30" t="s">
        <v>1151</v>
      </c>
      <c r="K140" s="30"/>
    </row>
    <row r="141" spans="1:11" ht="36" customHeight="1">
      <c r="A141" s="29" t="s">
        <v>519</v>
      </c>
      <c r="B141" s="29" t="s">
        <v>215</v>
      </c>
      <c r="C141" s="29" t="s">
        <v>520</v>
      </c>
      <c r="D141" s="29" t="s">
        <v>217</v>
      </c>
      <c r="E141" s="29" t="s">
        <v>164</v>
      </c>
      <c r="F141" s="30" t="s">
        <v>19</v>
      </c>
      <c r="G141" s="30"/>
      <c r="H141" s="31">
        <v>0.55000000000000004</v>
      </c>
      <c r="I141" s="30"/>
      <c r="J141" s="30" t="s">
        <v>1152</v>
      </c>
      <c r="K141" s="30"/>
    </row>
    <row r="142" spans="1:11" ht="36" customHeight="1">
      <c r="A142" s="29" t="s">
        <v>521</v>
      </c>
      <c r="B142" s="29" t="s">
        <v>522</v>
      </c>
      <c r="C142" s="29" t="s">
        <v>523</v>
      </c>
      <c r="D142" s="29" t="s">
        <v>524</v>
      </c>
      <c r="E142" s="29" t="s">
        <v>407</v>
      </c>
      <c r="F142" s="30" t="s">
        <v>15</v>
      </c>
      <c r="G142" s="30" t="s">
        <v>20</v>
      </c>
      <c r="H142" s="30"/>
      <c r="I142" s="30"/>
      <c r="J142" s="30"/>
      <c r="K142" s="30"/>
    </row>
    <row r="143" spans="1:11" ht="48" customHeight="1">
      <c r="A143" s="29" t="s">
        <v>525</v>
      </c>
      <c r="B143" s="29" t="s">
        <v>233</v>
      </c>
      <c r="C143" s="29" t="s">
        <v>526</v>
      </c>
      <c r="D143" s="29" t="s">
        <v>235</v>
      </c>
      <c r="E143" s="29" t="s">
        <v>14</v>
      </c>
      <c r="F143" s="30"/>
      <c r="G143" s="30" t="s">
        <v>170</v>
      </c>
      <c r="H143" s="30"/>
      <c r="I143" s="30"/>
      <c r="J143" s="30"/>
      <c r="K143" s="30"/>
    </row>
    <row r="144" spans="1:11" ht="36" customHeight="1">
      <c r="A144" s="29" t="s">
        <v>527</v>
      </c>
      <c r="B144" s="29" t="s">
        <v>480</v>
      </c>
      <c r="C144" s="29" t="s">
        <v>528</v>
      </c>
      <c r="D144" s="29" t="s">
        <v>481</v>
      </c>
      <c r="E144" s="29" t="s">
        <v>47</v>
      </c>
      <c r="F144" s="30" t="s">
        <v>33</v>
      </c>
      <c r="G144" s="30"/>
      <c r="H144" s="30"/>
      <c r="I144" s="30"/>
      <c r="J144" s="30"/>
      <c r="K144" s="30"/>
    </row>
    <row r="145" spans="1:11" ht="36" customHeight="1">
      <c r="A145" s="29" t="s">
        <v>529</v>
      </c>
      <c r="B145" s="29" t="s">
        <v>480</v>
      </c>
      <c r="C145" s="29" t="s">
        <v>530</v>
      </c>
      <c r="D145" s="29" t="s">
        <v>481</v>
      </c>
      <c r="E145" s="29" t="s">
        <v>47</v>
      </c>
      <c r="F145" s="30" t="s">
        <v>33</v>
      </c>
      <c r="G145" s="30"/>
      <c r="H145" s="30"/>
      <c r="I145" s="30"/>
      <c r="J145" s="30"/>
      <c r="K145" s="30"/>
    </row>
    <row r="146" spans="1:11" ht="36" customHeight="1">
      <c r="A146" s="29" t="s">
        <v>531</v>
      </c>
      <c r="B146" s="29" t="s">
        <v>532</v>
      </c>
      <c r="C146" s="29" t="s">
        <v>533</v>
      </c>
      <c r="D146" s="29" t="s">
        <v>534</v>
      </c>
      <c r="E146" s="29" t="s">
        <v>32</v>
      </c>
      <c r="F146" s="30" t="s">
        <v>33</v>
      </c>
      <c r="G146" s="30" t="s">
        <v>535</v>
      </c>
      <c r="H146" s="30"/>
      <c r="I146" s="30"/>
      <c r="J146" s="30"/>
      <c r="K146" s="30"/>
    </row>
    <row r="147" spans="1:11" ht="36" customHeight="1">
      <c r="A147" s="29" t="s">
        <v>536</v>
      </c>
      <c r="B147" s="29" t="s">
        <v>532</v>
      </c>
      <c r="C147" s="29" t="s">
        <v>537</v>
      </c>
      <c r="D147" s="29" t="s">
        <v>534</v>
      </c>
      <c r="E147" s="29" t="s">
        <v>32</v>
      </c>
      <c r="F147" s="30" t="s">
        <v>19</v>
      </c>
      <c r="G147" s="30" t="s">
        <v>173</v>
      </c>
      <c r="H147" s="31">
        <v>0.5</v>
      </c>
      <c r="I147" s="30"/>
      <c r="J147" s="30" t="s">
        <v>1130</v>
      </c>
      <c r="K147" s="30"/>
    </row>
    <row r="148" spans="1:11" ht="36" customHeight="1">
      <c r="A148" s="29" t="s">
        <v>538</v>
      </c>
      <c r="B148" s="29" t="s">
        <v>532</v>
      </c>
      <c r="C148" s="29" t="s">
        <v>539</v>
      </c>
      <c r="D148" s="29" t="s">
        <v>534</v>
      </c>
      <c r="E148" s="29" t="s">
        <v>32</v>
      </c>
      <c r="F148" s="30" t="s">
        <v>19</v>
      </c>
      <c r="G148" s="30" t="s">
        <v>34</v>
      </c>
      <c r="H148" s="30"/>
      <c r="I148" s="30"/>
      <c r="J148" s="30"/>
      <c r="K148" s="30"/>
    </row>
    <row r="149" spans="1:11" ht="36" customHeight="1">
      <c r="A149" s="29" t="s">
        <v>540</v>
      </c>
      <c r="B149" s="29" t="s">
        <v>463</v>
      </c>
      <c r="C149" s="29" t="s">
        <v>541</v>
      </c>
      <c r="D149" s="29" t="s">
        <v>183</v>
      </c>
      <c r="E149" s="29" t="s">
        <v>184</v>
      </c>
      <c r="F149" s="30" t="s">
        <v>114</v>
      </c>
      <c r="G149" s="30" t="s">
        <v>186</v>
      </c>
      <c r="H149" s="30"/>
      <c r="I149" s="30"/>
      <c r="J149" s="30"/>
      <c r="K149" s="30"/>
    </row>
    <row r="150" spans="1:11" ht="36" customHeight="1">
      <c r="A150" s="29" t="s">
        <v>542</v>
      </c>
      <c r="B150" s="29" t="s">
        <v>543</v>
      </c>
      <c r="C150" s="29" t="s">
        <v>544</v>
      </c>
      <c r="D150" s="29" t="s">
        <v>545</v>
      </c>
      <c r="E150" s="29" t="s">
        <v>546</v>
      </c>
      <c r="F150" s="30" t="s">
        <v>19</v>
      </c>
      <c r="G150" s="30" t="s">
        <v>236</v>
      </c>
      <c r="H150" s="30"/>
      <c r="I150" s="30"/>
      <c r="J150" s="30"/>
      <c r="K150" s="30"/>
    </row>
    <row r="151" spans="1:11" ht="36" customHeight="1">
      <c r="A151" s="29" t="s">
        <v>547</v>
      </c>
      <c r="B151" s="29" t="s">
        <v>548</v>
      </c>
      <c r="C151" s="29" t="s">
        <v>549</v>
      </c>
      <c r="D151" s="29" t="s">
        <v>550</v>
      </c>
      <c r="E151" s="29" t="s">
        <v>14</v>
      </c>
      <c r="F151" s="30" t="s">
        <v>15</v>
      </c>
      <c r="G151" s="30" t="s">
        <v>26</v>
      </c>
      <c r="H151" s="30"/>
      <c r="I151" s="30"/>
      <c r="J151" s="30"/>
      <c r="K151" s="30"/>
    </row>
    <row r="152" spans="1:11" ht="36" customHeight="1">
      <c r="A152" s="29" t="s">
        <v>551</v>
      </c>
      <c r="B152" s="29" t="s">
        <v>233</v>
      </c>
      <c r="C152" s="29" t="s">
        <v>552</v>
      </c>
      <c r="D152" s="29" t="s">
        <v>235</v>
      </c>
      <c r="E152" s="29" t="s">
        <v>14</v>
      </c>
      <c r="F152" s="30" t="s">
        <v>33</v>
      </c>
      <c r="G152" s="30" t="s">
        <v>75</v>
      </c>
      <c r="H152" s="31">
        <v>0.55000000000000004</v>
      </c>
      <c r="I152" s="30"/>
      <c r="J152" s="30" t="s">
        <v>1146</v>
      </c>
      <c r="K152" s="30"/>
    </row>
    <row r="153" spans="1:11" ht="36" customHeight="1">
      <c r="A153" s="29" t="s">
        <v>553</v>
      </c>
      <c r="B153" s="29" t="s">
        <v>554</v>
      </c>
      <c r="C153" s="29" t="s">
        <v>555</v>
      </c>
      <c r="D153" s="29" t="s">
        <v>457</v>
      </c>
      <c r="E153" s="29" t="s">
        <v>402</v>
      </c>
      <c r="F153" s="30" t="s">
        <v>15</v>
      </c>
      <c r="G153" s="30" t="s">
        <v>555</v>
      </c>
      <c r="H153" s="30"/>
      <c r="I153" s="30"/>
      <c r="J153" s="30"/>
      <c r="K153" s="30"/>
    </row>
    <row r="154" spans="1:11" ht="36" customHeight="1">
      <c r="A154" s="29" t="s">
        <v>556</v>
      </c>
      <c r="B154" s="29" t="s">
        <v>557</v>
      </c>
      <c r="C154" s="29" t="s">
        <v>558</v>
      </c>
      <c r="D154" s="29" t="s">
        <v>330</v>
      </c>
      <c r="E154" s="29" t="s">
        <v>317</v>
      </c>
      <c r="F154" s="30" t="s">
        <v>33</v>
      </c>
      <c r="G154" s="30" t="s">
        <v>559</v>
      </c>
      <c r="H154" s="30"/>
      <c r="I154" s="30"/>
      <c r="J154" s="30"/>
      <c r="K154" s="30"/>
    </row>
    <row r="155" spans="1:11" ht="36" customHeight="1">
      <c r="A155" s="29" t="s">
        <v>560</v>
      </c>
      <c r="B155" s="29" t="s">
        <v>557</v>
      </c>
      <c r="C155" s="29" t="s">
        <v>561</v>
      </c>
      <c r="D155" s="29" t="s">
        <v>330</v>
      </c>
      <c r="E155" s="29" t="s">
        <v>317</v>
      </c>
      <c r="F155" s="30" t="s">
        <v>33</v>
      </c>
      <c r="G155" s="30" t="s">
        <v>562</v>
      </c>
      <c r="H155" s="30"/>
      <c r="I155" s="30"/>
      <c r="J155" s="30"/>
      <c r="K155" s="30"/>
    </row>
    <row r="156" spans="1:11" ht="36" customHeight="1">
      <c r="A156" s="29" t="s">
        <v>563</v>
      </c>
      <c r="B156" s="29" t="s">
        <v>564</v>
      </c>
      <c r="C156" s="29" t="s">
        <v>565</v>
      </c>
      <c r="D156" s="29" t="s">
        <v>566</v>
      </c>
      <c r="E156" s="29" t="s">
        <v>567</v>
      </c>
      <c r="F156" s="30" t="s">
        <v>33</v>
      </c>
      <c r="G156" s="30" t="s">
        <v>236</v>
      </c>
      <c r="H156" s="30"/>
      <c r="I156" s="30"/>
      <c r="J156" s="30"/>
      <c r="K156" s="30"/>
    </row>
    <row r="157" spans="1:11" ht="36" customHeight="1">
      <c r="A157" s="29" t="s">
        <v>568</v>
      </c>
      <c r="B157" s="29" t="s">
        <v>569</v>
      </c>
      <c r="C157" s="29" t="s">
        <v>570</v>
      </c>
      <c r="D157" s="29" t="s">
        <v>571</v>
      </c>
      <c r="E157" s="29" t="s">
        <v>567</v>
      </c>
      <c r="F157" s="30"/>
      <c r="G157" s="30" t="s">
        <v>20</v>
      </c>
      <c r="H157" s="30" t="s">
        <v>1161</v>
      </c>
      <c r="I157" s="30"/>
      <c r="J157" s="30" t="s">
        <v>1131</v>
      </c>
      <c r="K157" s="30"/>
    </row>
    <row r="158" spans="1:11" ht="36" customHeight="1">
      <c r="A158" s="29" t="s">
        <v>572</v>
      </c>
      <c r="B158" s="29" t="s">
        <v>569</v>
      </c>
      <c r="C158" s="29" t="s">
        <v>573</v>
      </c>
      <c r="D158" s="29" t="s">
        <v>571</v>
      </c>
      <c r="E158" s="29" t="s">
        <v>567</v>
      </c>
      <c r="F158" s="30"/>
      <c r="G158" s="30" t="s">
        <v>20</v>
      </c>
      <c r="H158" s="30"/>
      <c r="I158" s="30"/>
      <c r="J158" s="30"/>
      <c r="K158" s="30"/>
    </row>
    <row r="159" spans="1:11" ht="36" customHeight="1">
      <c r="A159" s="29" t="s">
        <v>574</v>
      </c>
      <c r="B159" s="29" t="s">
        <v>569</v>
      </c>
      <c r="C159" s="29" t="s">
        <v>575</v>
      </c>
      <c r="D159" s="29" t="s">
        <v>571</v>
      </c>
      <c r="E159" s="29" t="s">
        <v>567</v>
      </c>
      <c r="F159" s="30"/>
      <c r="G159" s="30" t="s">
        <v>576</v>
      </c>
      <c r="H159" s="30"/>
      <c r="I159" s="30"/>
      <c r="J159" s="30"/>
      <c r="K159" s="30"/>
    </row>
    <row r="160" spans="1:11" ht="36" customHeight="1">
      <c r="A160" s="29" t="s">
        <v>577</v>
      </c>
      <c r="B160" s="29" t="s">
        <v>569</v>
      </c>
      <c r="C160" s="29" t="s">
        <v>578</v>
      </c>
      <c r="D160" s="29" t="s">
        <v>571</v>
      </c>
      <c r="E160" s="29" t="s">
        <v>567</v>
      </c>
      <c r="F160" s="30"/>
      <c r="G160" s="30" t="s">
        <v>579</v>
      </c>
      <c r="H160" s="30"/>
      <c r="I160" s="30"/>
      <c r="J160" s="30"/>
      <c r="K160" s="30"/>
    </row>
    <row r="161" spans="1:11" ht="36" customHeight="1">
      <c r="A161" s="29" t="s">
        <v>580</v>
      </c>
      <c r="B161" s="29" t="s">
        <v>581</v>
      </c>
      <c r="C161" s="29" t="s">
        <v>582</v>
      </c>
      <c r="D161" s="29" t="s">
        <v>583</v>
      </c>
      <c r="E161" s="29" t="s">
        <v>204</v>
      </c>
      <c r="F161" s="30"/>
      <c r="G161" s="30"/>
      <c r="H161" s="30"/>
      <c r="I161" s="30"/>
      <c r="J161" s="30">
        <v>2026.04</v>
      </c>
      <c r="K161" s="30"/>
    </row>
    <row r="162" spans="1:11" ht="36" customHeight="1">
      <c r="A162" s="29" t="s">
        <v>584</v>
      </c>
      <c r="B162" s="29" t="s">
        <v>585</v>
      </c>
      <c r="C162" s="29" t="s">
        <v>586</v>
      </c>
      <c r="D162" s="29" t="s">
        <v>587</v>
      </c>
      <c r="E162" s="29" t="s">
        <v>588</v>
      </c>
      <c r="F162" s="30" t="s">
        <v>19</v>
      </c>
      <c r="G162" s="30" t="s">
        <v>20</v>
      </c>
      <c r="H162" s="30"/>
      <c r="I162" s="30"/>
      <c r="J162" s="30"/>
      <c r="K162" s="30"/>
    </row>
    <row r="163" spans="1:11" ht="36" customHeight="1">
      <c r="A163" s="29" t="s">
        <v>589</v>
      </c>
      <c r="B163" s="29" t="s">
        <v>585</v>
      </c>
      <c r="C163" s="29" t="s">
        <v>590</v>
      </c>
      <c r="D163" s="29" t="s">
        <v>587</v>
      </c>
      <c r="E163" s="29" t="s">
        <v>588</v>
      </c>
      <c r="F163" s="30" t="s">
        <v>33</v>
      </c>
      <c r="G163" s="30"/>
      <c r="H163" s="30"/>
      <c r="I163" s="30"/>
      <c r="J163" s="30"/>
      <c r="K163" s="30"/>
    </row>
    <row r="164" spans="1:11" ht="48" customHeight="1">
      <c r="A164" s="29" t="s">
        <v>591</v>
      </c>
      <c r="B164" s="29" t="s">
        <v>585</v>
      </c>
      <c r="C164" s="29" t="s">
        <v>592</v>
      </c>
      <c r="D164" s="29" t="s">
        <v>587</v>
      </c>
      <c r="E164" s="29" t="s">
        <v>588</v>
      </c>
      <c r="F164" s="30" t="s">
        <v>33</v>
      </c>
      <c r="G164" s="30" t="s">
        <v>20</v>
      </c>
      <c r="H164" s="30"/>
      <c r="I164" s="30"/>
      <c r="J164" s="30"/>
      <c r="K164" s="30"/>
    </row>
    <row r="165" spans="1:11" ht="36" customHeight="1">
      <c r="A165" s="29" t="s">
        <v>593</v>
      </c>
      <c r="B165" s="29" t="s">
        <v>594</v>
      </c>
      <c r="C165" s="29" t="s">
        <v>595</v>
      </c>
      <c r="D165" s="29" t="s">
        <v>596</v>
      </c>
      <c r="E165" s="29" t="s">
        <v>247</v>
      </c>
      <c r="F165" s="30" t="s">
        <v>33</v>
      </c>
      <c r="G165" s="30" t="s">
        <v>597</v>
      </c>
      <c r="H165" s="30"/>
      <c r="I165" s="30"/>
      <c r="J165" s="30"/>
      <c r="K165" s="30"/>
    </row>
    <row r="166" spans="1:11" ht="36" customHeight="1">
      <c r="A166" s="29" t="s">
        <v>598</v>
      </c>
      <c r="B166" s="29" t="s">
        <v>599</v>
      </c>
      <c r="C166" s="29" t="s">
        <v>600</v>
      </c>
      <c r="D166" s="29" t="s">
        <v>601</v>
      </c>
      <c r="E166" s="29" t="s">
        <v>402</v>
      </c>
      <c r="F166" s="30" t="s">
        <v>33</v>
      </c>
      <c r="G166" s="30"/>
      <c r="H166" s="30"/>
      <c r="I166" s="30"/>
      <c r="J166" s="30"/>
      <c r="K166" s="30"/>
    </row>
    <row r="167" spans="1:11" ht="36" customHeight="1">
      <c r="A167" s="29" t="s">
        <v>602</v>
      </c>
      <c r="B167" s="29" t="s">
        <v>603</v>
      </c>
      <c r="C167" s="29" t="s">
        <v>604</v>
      </c>
      <c r="D167" s="29" t="s">
        <v>605</v>
      </c>
      <c r="E167" s="29" t="s">
        <v>80</v>
      </c>
      <c r="F167" s="30" t="s">
        <v>19</v>
      </c>
      <c r="G167" s="30" t="s">
        <v>20</v>
      </c>
      <c r="H167" s="30"/>
      <c r="I167" s="30"/>
      <c r="J167" s="30"/>
      <c r="K167" s="30"/>
    </row>
    <row r="168" spans="1:11" ht="36" customHeight="1">
      <c r="A168" s="29" t="s">
        <v>606</v>
      </c>
      <c r="B168" s="29" t="s">
        <v>607</v>
      </c>
      <c r="C168" s="29" t="s">
        <v>608</v>
      </c>
      <c r="D168" s="29" t="s">
        <v>609</v>
      </c>
      <c r="E168" s="29" t="s">
        <v>74</v>
      </c>
      <c r="F168" s="30" t="s">
        <v>19</v>
      </c>
      <c r="G168" s="30" t="s">
        <v>610</v>
      </c>
      <c r="H168" s="30"/>
      <c r="I168" s="30"/>
      <c r="J168" s="30"/>
      <c r="K168" s="30"/>
    </row>
    <row r="169" spans="1:11" ht="36" customHeight="1">
      <c r="A169" s="29" t="s">
        <v>611</v>
      </c>
      <c r="B169" s="29" t="s">
        <v>612</v>
      </c>
      <c r="C169" s="29" t="s">
        <v>613</v>
      </c>
      <c r="D169" s="29" t="s">
        <v>614</v>
      </c>
      <c r="E169" s="29" t="s">
        <v>402</v>
      </c>
      <c r="F169" s="30" t="s">
        <v>19</v>
      </c>
      <c r="G169" s="30" t="s">
        <v>555</v>
      </c>
      <c r="H169" s="30"/>
      <c r="I169" s="30"/>
      <c r="J169" s="30"/>
      <c r="K169" s="30"/>
    </row>
    <row r="170" spans="1:11" ht="36" customHeight="1">
      <c r="A170" s="29" t="s">
        <v>615</v>
      </c>
      <c r="B170" s="29" t="s">
        <v>616</v>
      </c>
      <c r="C170" s="29" t="s">
        <v>617</v>
      </c>
      <c r="D170" s="29" t="s">
        <v>618</v>
      </c>
      <c r="E170" s="29" t="s">
        <v>164</v>
      </c>
      <c r="F170" s="30" t="s">
        <v>19</v>
      </c>
      <c r="G170" s="30" t="s">
        <v>619</v>
      </c>
      <c r="H170" s="30"/>
      <c r="I170" s="30"/>
      <c r="J170" s="30"/>
      <c r="K170" s="30"/>
    </row>
    <row r="171" spans="1:11" ht="36" customHeight="1">
      <c r="A171" s="29" t="s">
        <v>620</v>
      </c>
      <c r="B171" s="29" t="s">
        <v>621</v>
      </c>
      <c r="C171" s="29" t="s">
        <v>622</v>
      </c>
      <c r="D171" s="29" t="s">
        <v>623</v>
      </c>
      <c r="E171" s="29" t="s">
        <v>85</v>
      </c>
      <c r="F171" s="30" t="s">
        <v>15</v>
      </c>
      <c r="G171" s="30" t="s">
        <v>390</v>
      </c>
      <c r="H171" s="30"/>
      <c r="I171" s="30"/>
      <c r="J171" s="30"/>
      <c r="K171" s="30"/>
    </row>
    <row r="172" spans="1:11" ht="36" customHeight="1">
      <c r="A172" s="29" t="s">
        <v>624</v>
      </c>
      <c r="B172" s="29" t="s">
        <v>625</v>
      </c>
      <c r="C172" s="29" t="s">
        <v>626</v>
      </c>
      <c r="D172" s="29" t="s">
        <v>627</v>
      </c>
      <c r="E172" s="29" t="s">
        <v>628</v>
      </c>
      <c r="F172" s="30"/>
      <c r="G172" s="30" t="s">
        <v>579</v>
      </c>
      <c r="H172" s="30"/>
      <c r="I172" s="30"/>
      <c r="J172" s="30"/>
      <c r="K172" s="29" t="s">
        <v>629</v>
      </c>
    </row>
    <row r="173" spans="1:11" ht="36" customHeight="1">
      <c r="A173" s="29" t="s">
        <v>630</v>
      </c>
      <c r="B173" s="29" t="s">
        <v>631</v>
      </c>
      <c r="C173" s="29" t="s">
        <v>632</v>
      </c>
      <c r="D173" s="29" t="s">
        <v>633</v>
      </c>
      <c r="E173" s="29" t="s">
        <v>634</v>
      </c>
      <c r="F173" s="30" t="s">
        <v>15</v>
      </c>
      <c r="G173" s="30" t="s">
        <v>199</v>
      </c>
      <c r="H173" s="31">
        <v>0.48</v>
      </c>
      <c r="I173" s="30"/>
      <c r="J173" s="30" t="s">
        <v>1159</v>
      </c>
      <c r="K173" s="30"/>
    </row>
    <row r="174" spans="1:11" ht="36" customHeight="1">
      <c r="A174" s="29" t="s">
        <v>635</v>
      </c>
      <c r="B174" s="29" t="s">
        <v>636</v>
      </c>
      <c r="C174" s="29" t="s">
        <v>637</v>
      </c>
      <c r="D174" s="29" t="s">
        <v>534</v>
      </c>
      <c r="E174" s="29" t="s">
        <v>32</v>
      </c>
      <c r="F174" s="30" t="s">
        <v>19</v>
      </c>
      <c r="G174" s="30" t="s">
        <v>34</v>
      </c>
      <c r="H174" s="30"/>
      <c r="I174" s="30"/>
      <c r="J174" s="30" t="s">
        <v>1132</v>
      </c>
      <c r="K174" s="30"/>
    </row>
    <row r="175" spans="1:11" ht="36" customHeight="1">
      <c r="A175" s="29" t="s">
        <v>638</v>
      </c>
      <c r="B175" s="29" t="s">
        <v>639</v>
      </c>
      <c r="C175" s="29" t="s">
        <v>640</v>
      </c>
      <c r="D175" s="32" t="s">
        <v>641</v>
      </c>
      <c r="E175" s="29" t="s">
        <v>64</v>
      </c>
      <c r="F175" s="30" t="s">
        <v>15</v>
      </c>
      <c r="G175" s="30" t="s">
        <v>642</v>
      </c>
      <c r="H175" s="30"/>
      <c r="I175" s="30"/>
      <c r="J175" s="30"/>
      <c r="K175" s="30"/>
    </row>
    <row r="176" spans="1:11" ht="36" customHeight="1">
      <c r="A176" s="29" t="s">
        <v>643</v>
      </c>
      <c r="B176" s="29" t="s">
        <v>644</v>
      </c>
      <c r="C176" s="29" t="s">
        <v>645</v>
      </c>
      <c r="D176" s="32" t="s">
        <v>68</v>
      </c>
      <c r="E176" s="29" t="s">
        <v>69</v>
      </c>
      <c r="F176" s="30" t="s">
        <v>19</v>
      </c>
      <c r="G176" s="30" t="s">
        <v>284</v>
      </c>
      <c r="H176" s="30"/>
      <c r="I176" s="30"/>
      <c r="J176" s="30"/>
      <c r="K176" s="30"/>
    </row>
    <row r="177" spans="1:11" ht="36" customHeight="1">
      <c r="A177" s="29" t="s">
        <v>646</v>
      </c>
      <c r="B177" s="29" t="s">
        <v>647</v>
      </c>
      <c r="C177" s="29" t="s">
        <v>648</v>
      </c>
      <c r="D177" s="32" t="s">
        <v>649</v>
      </c>
      <c r="E177" s="29" t="s">
        <v>650</v>
      </c>
      <c r="F177" s="30"/>
      <c r="G177" s="33" t="s">
        <v>284</v>
      </c>
      <c r="H177" s="30"/>
      <c r="I177" s="30"/>
      <c r="J177" s="30"/>
      <c r="K177" s="30"/>
    </row>
    <row r="178" spans="1:11" ht="36" customHeight="1">
      <c r="A178" s="29" t="s">
        <v>651</v>
      </c>
      <c r="B178" s="29" t="s">
        <v>652</v>
      </c>
      <c r="C178" s="29" t="s">
        <v>653</v>
      </c>
      <c r="D178" s="32" t="s">
        <v>654</v>
      </c>
      <c r="E178" s="29" t="s">
        <v>164</v>
      </c>
      <c r="F178" s="30"/>
      <c r="G178" s="30" t="s">
        <v>655</v>
      </c>
      <c r="H178" s="30" t="s">
        <v>656</v>
      </c>
      <c r="I178" s="30"/>
      <c r="J178" s="30"/>
      <c r="K178" s="30"/>
    </row>
    <row r="179" spans="1:11" ht="36" customHeight="1">
      <c r="A179" s="29" t="s">
        <v>657</v>
      </c>
      <c r="B179" s="29" t="s">
        <v>658</v>
      </c>
      <c r="C179" s="29" t="s">
        <v>659</v>
      </c>
      <c r="D179" s="32" t="s">
        <v>660</v>
      </c>
      <c r="E179" s="29" t="s">
        <v>407</v>
      </c>
      <c r="F179" s="30" t="s">
        <v>19</v>
      </c>
      <c r="G179" s="33" t="s">
        <v>236</v>
      </c>
      <c r="H179" s="31">
        <v>0.5</v>
      </c>
      <c r="I179" s="30"/>
      <c r="J179" s="30"/>
      <c r="K179" s="30"/>
    </row>
    <row r="180" spans="1:11" ht="36" customHeight="1">
      <c r="A180" s="29" t="s">
        <v>661</v>
      </c>
      <c r="B180" s="29" t="s">
        <v>662</v>
      </c>
      <c r="C180" s="29" t="s">
        <v>663</v>
      </c>
      <c r="D180" s="32" t="s">
        <v>664</v>
      </c>
      <c r="E180" s="29" t="s">
        <v>47</v>
      </c>
      <c r="F180" s="30" t="s">
        <v>15</v>
      </c>
      <c r="G180" s="30"/>
      <c r="H180" s="30"/>
      <c r="I180" s="30"/>
      <c r="J180" s="30"/>
      <c r="K180" s="30"/>
    </row>
    <row r="181" spans="1:11" ht="36" customHeight="1">
      <c r="A181" s="29" t="s">
        <v>665</v>
      </c>
      <c r="B181" s="29" t="s">
        <v>666</v>
      </c>
      <c r="C181" s="29" t="s">
        <v>667</v>
      </c>
      <c r="D181" s="32" t="s">
        <v>668</v>
      </c>
      <c r="E181" s="29" t="s">
        <v>669</v>
      </c>
      <c r="F181" s="30" t="s">
        <v>19</v>
      </c>
      <c r="G181" s="35" t="s">
        <v>670</v>
      </c>
      <c r="H181" s="31">
        <v>0.57999999999999996</v>
      </c>
      <c r="I181" s="30"/>
      <c r="J181" s="30" t="s">
        <v>1121</v>
      </c>
      <c r="K181" s="30"/>
    </row>
    <row r="182" spans="1:11" ht="36" customHeight="1">
      <c r="A182" s="29" t="s">
        <v>671</v>
      </c>
      <c r="B182" s="29" t="s">
        <v>672</v>
      </c>
      <c r="C182" s="29" t="s">
        <v>673</v>
      </c>
      <c r="D182" s="29" t="s">
        <v>674</v>
      </c>
      <c r="E182" s="29" t="s">
        <v>85</v>
      </c>
      <c r="F182" s="30"/>
      <c r="G182" s="36" t="s">
        <v>675</v>
      </c>
      <c r="H182" s="30"/>
      <c r="I182" s="30"/>
      <c r="J182" s="30"/>
      <c r="K182" s="30"/>
    </row>
    <row r="183" spans="1:11" ht="36" customHeight="1">
      <c r="A183" s="29" t="s">
        <v>676</v>
      </c>
      <c r="B183" s="29" t="s">
        <v>672</v>
      </c>
      <c r="C183" s="29" t="s">
        <v>677</v>
      </c>
      <c r="D183" s="29" t="s">
        <v>674</v>
      </c>
      <c r="E183" s="29" t="s">
        <v>85</v>
      </c>
      <c r="F183" s="30"/>
      <c r="G183" s="35" t="s">
        <v>678</v>
      </c>
      <c r="H183" s="30"/>
      <c r="I183" s="30"/>
      <c r="J183" s="30"/>
      <c r="K183" s="30"/>
    </row>
    <row r="184" spans="1:11" ht="36" customHeight="1">
      <c r="A184" s="29" t="s">
        <v>679</v>
      </c>
      <c r="B184" s="29" t="s">
        <v>672</v>
      </c>
      <c r="C184" s="29" t="s">
        <v>680</v>
      </c>
      <c r="D184" s="29" t="s">
        <v>674</v>
      </c>
      <c r="E184" s="29" t="s">
        <v>85</v>
      </c>
      <c r="F184" s="30"/>
      <c r="G184" s="30" t="s">
        <v>681</v>
      </c>
      <c r="H184" s="30"/>
      <c r="I184" s="30"/>
      <c r="J184" s="30"/>
      <c r="K184" s="30"/>
    </row>
    <row r="185" spans="1:11" ht="36" customHeight="1">
      <c r="A185" s="29" t="s">
        <v>682</v>
      </c>
      <c r="B185" s="29" t="s">
        <v>683</v>
      </c>
      <c r="C185" s="29" t="s">
        <v>684</v>
      </c>
      <c r="D185" s="32" t="s">
        <v>685</v>
      </c>
      <c r="E185" s="29" t="s">
        <v>395</v>
      </c>
      <c r="F185" s="30" t="s">
        <v>15</v>
      </c>
      <c r="G185" s="30"/>
      <c r="H185" s="30"/>
      <c r="I185" s="30"/>
      <c r="J185" s="30"/>
      <c r="K185" s="30"/>
    </row>
    <row r="186" spans="1:11" ht="36" customHeight="1">
      <c r="A186" s="29" t="s">
        <v>686</v>
      </c>
      <c r="B186" s="34" t="s">
        <v>687</v>
      </c>
      <c r="C186" s="37" t="s">
        <v>688</v>
      </c>
      <c r="D186" s="32" t="s">
        <v>689</v>
      </c>
      <c r="E186" s="29" t="s">
        <v>588</v>
      </c>
      <c r="F186" s="30" t="s">
        <v>15</v>
      </c>
      <c r="G186" s="30" t="s">
        <v>687</v>
      </c>
      <c r="H186" s="30"/>
      <c r="I186" s="30"/>
      <c r="J186" s="30"/>
      <c r="K186" s="30"/>
    </row>
    <row r="187" spans="1:11" ht="36" customHeight="1">
      <c r="A187" s="29" t="s">
        <v>690</v>
      </c>
      <c r="B187" s="29" t="s">
        <v>691</v>
      </c>
      <c r="C187" s="29" t="s">
        <v>692</v>
      </c>
      <c r="D187" s="32" t="s">
        <v>693</v>
      </c>
      <c r="E187" s="29" t="s">
        <v>155</v>
      </c>
      <c r="F187" s="30"/>
      <c r="G187" s="30"/>
      <c r="H187" s="30"/>
      <c r="I187" s="30"/>
      <c r="J187" s="30"/>
      <c r="K187" s="30"/>
    </row>
    <row r="188" spans="1:11" ht="36" customHeight="1">
      <c r="A188" s="29" t="s">
        <v>694</v>
      </c>
      <c r="B188" s="29" t="s">
        <v>695</v>
      </c>
      <c r="C188" s="29" t="s">
        <v>696</v>
      </c>
      <c r="D188" s="32" t="s">
        <v>697</v>
      </c>
      <c r="E188" s="29" t="s">
        <v>698</v>
      </c>
      <c r="F188" s="30" t="s">
        <v>15</v>
      </c>
      <c r="G188" s="30" t="s">
        <v>699</v>
      </c>
      <c r="H188" s="30"/>
      <c r="I188" s="30"/>
      <c r="J188" s="30">
        <v>2026.06</v>
      </c>
      <c r="K188" s="30"/>
    </row>
    <row r="189" spans="1:11" ht="48" customHeight="1">
      <c r="A189" s="29" t="s">
        <v>700</v>
      </c>
      <c r="B189" s="29" t="s">
        <v>701</v>
      </c>
      <c r="C189" s="29" t="s">
        <v>702</v>
      </c>
      <c r="D189" s="32" t="s">
        <v>703</v>
      </c>
      <c r="E189" s="29" t="s">
        <v>80</v>
      </c>
      <c r="F189" s="30" t="s">
        <v>33</v>
      </c>
      <c r="G189" s="30" t="s">
        <v>704</v>
      </c>
      <c r="H189" s="31">
        <v>0.65</v>
      </c>
      <c r="I189" s="30"/>
      <c r="J189" s="30">
        <v>2026.07</v>
      </c>
      <c r="K189" s="30"/>
    </row>
    <row r="190" spans="1:11" ht="36" customHeight="1">
      <c r="A190" s="29" t="s">
        <v>705</v>
      </c>
      <c r="B190" s="29" t="s">
        <v>706</v>
      </c>
      <c r="C190" s="29" t="s">
        <v>707</v>
      </c>
      <c r="D190" s="32" t="s">
        <v>708</v>
      </c>
      <c r="E190" s="29" t="s">
        <v>709</v>
      </c>
      <c r="F190" s="30" t="s">
        <v>19</v>
      </c>
      <c r="G190" s="30" t="s">
        <v>710</v>
      </c>
      <c r="H190" s="30"/>
      <c r="I190" s="30"/>
      <c r="J190" s="30"/>
      <c r="K190" s="30"/>
    </row>
    <row r="191" spans="1:11" ht="36" customHeight="1">
      <c r="A191" s="29" t="s">
        <v>711</v>
      </c>
      <c r="B191" s="29" t="s">
        <v>712</v>
      </c>
      <c r="C191" s="29" t="s">
        <v>713</v>
      </c>
      <c r="D191" s="32" t="s">
        <v>714</v>
      </c>
      <c r="E191" s="29" t="s">
        <v>247</v>
      </c>
      <c r="F191" s="30" t="s">
        <v>19</v>
      </c>
      <c r="G191" s="30"/>
      <c r="H191" s="30"/>
      <c r="I191" s="30"/>
      <c r="J191" s="30"/>
      <c r="K191" s="30"/>
    </row>
    <row r="192" spans="1:11" ht="36" customHeight="1">
      <c r="A192" s="29" t="s">
        <v>715</v>
      </c>
      <c r="B192" s="29" t="s">
        <v>716</v>
      </c>
      <c r="C192" s="29" t="s">
        <v>717</v>
      </c>
      <c r="D192" s="32" t="s">
        <v>718</v>
      </c>
      <c r="E192" s="29" t="s">
        <v>433</v>
      </c>
      <c r="F192" s="30" t="s">
        <v>33</v>
      </c>
      <c r="G192" s="30"/>
      <c r="H192" s="30"/>
      <c r="I192" s="30"/>
      <c r="J192" s="30"/>
      <c r="K192" s="30"/>
    </row>
    <row r="193" spans="1:11" ht="36" customHeight="1">
      <c r="A193" s="29" t="s">
        <v>719</v>
      </c>
      <c r="B193" s="29" t="s">
        <v>716</v>
      </c>
      <c r="C193" s="29" t="s">
        <v>33</v>
      </c>
      <c r="D193" s="32" t="s">
        <v>718</v>
      </c>
      <c r="E193" s="29" t="s">
        <v>433</v>
      </c>
      <c r="F193" s="30" t="s">
        <v>33</v>
      </c>
      <c r="G193" s="30" t="s">
        <v>720</v>
      </c>
      <c r="H193" s="30"/>
      <c r="I193" s="30"/>
      <c r="J193" s="30"/>
      <c r="K193" s="30"/>
    </row>
    <row r="194" spans="1:11" ht="36" customHeight="1">
      <c r="A194" s="29" t="s">
        <v>721</v>
      </c>
      <c r="B194" s="29" t="s">
        <v>716</v>
      </c>
      <c r="C194" s="29" t="s">
        <v>595</v>
      </c>
      <c r="D194" s="32" t="s">
        <v>718</v>
      </c>
      <c r="E194" s="29" t="s">
        <v>433</v>
      </c>
      <c r="F194" s="30" t="s">
        <v>33</v>
      </c>
      <c r="G194" s="30" t="s">
        <v>720</v>
      </c>
      <c r="H194" s="30"/>
      <c r="I194" s="30"/>
      <c r="J194" s="30"/>
      <c r="K194" s="30"/>
    </row>
    <row r="195" spans="1:11" ht="36" customHeight="1">
      <c r="A195" s="29" t="s">
        <v>722</v>
      </c>
      <c r="B195" s="29" t="s">
        <v>716</v>
      </c>
      <c r="C195" s="29" t="s">
        <v>723</v>
      </c>
      <c r="D195" s="32" t="s">
        <v>718</v>
      </c>
      <c r="E195" s="29" t="s">
        <v>433</v>
      </c>
      <c r="F195" s="30" t="s">
        <v>19</v>
      </c>
      <c r="G195" s="30"/>
      <c r="H195" s="30"/>
      <c r="I195" s="30"/>
      <c r="J195" s="30"/>
      <c r="K195" s="30"/>
    </row>
    <row r="196" spans="1:11" ht="36" customHeight="1">
      <c r="A196" s="29" t="s">
        <v>724</v>
      </c>
      <c r="B196" s="29" t="s">
        <v>716</v>
      </c>
      <c r="C196" s="29" t="s">
        <v>725</v>
      </c>
      <c r="D196" s="32" t="s">
        <v>718</v>
      </c>
      <c r="E196" s="29" t="s">
        <v>433</v>
      </c>
      <c r="F196" s="30" t="s">
        <v>19</v>
      </c>
      <c r="G196" s="30" t="s">
        <v>186</v>
      </c>
      <c r="H196" s="30"/>
      <c r="I196" s="30"/>
      <c r="J196" s="30"/>
      <c r="K196" s="30"/>
    </row>
    <row r="197" spans="1:11" ht="48" customHeight="1">
      <c r="A197" s="29" t="s">
        <v>726</v>
      </c>
      <c r="B197" s="29" t="s">
        <v>716</v>
      </c>
      <c r="C197" s="29" t="s">
        <v>727</v>
      </c>
      <c r="D197" s="32" t="s">
        <v>718</v>
      </c>
      <c r="E197" s="29" t="s">
        <v>433</v>
      </c>
      <c r="F197" s="30" t="s">
        <v>19</v>
      </c>
      <c r="G197" s="30"/>
      <c r="H197" s="30"/>
      <c r="I197" s="30"/>
      <c r="J197" s="30"/>
      <c r="K197" s="30"/>
    </row>
    <row r="198" spans="1:11" ht="36" customHeight="1">
      <c r="A198" s="29" t="s">
        <v>728</v>
      </c>
      <c r="B198" s="29" t="s">
        <v>716</v>
      </c>
      <c r="C198" s="29" t="s">
        <v>729</v>
      </c>
      <c r="D198" s="32" t="s">
        <v>718</v>
      </c>
      <c r="E198" s="29" t="s">
        <v>433</v>
      </c>
      <c r="F198" s="30" t="s">
        <v>19</v>
      </c>
      <c r="G198" s="30" t="s">
        <v>730</v>
      </c>
      <c r="H198" s="30"/>
      <c r="I198" s="30"/>
      <c r="J198" s="30"/>
      <c r="K198" s="30"/>
    </row>
    <row r="199" spans="1:11" ht="36" customHeight="1">
      <c r="A199" s="29" t="s">
        <v>731</v>
      </c>
      <c r="B199" s="29" t="s">
        <v>716</v>
      </c>
      <c r="C199" s="29" t="s">
        <v>732</v>
      </c>
      <c r="D199" s="32" t="s">
        <v>718</v>
      </c>
      <c r="E199" s="29" t="s">
        <v>433</v>
      </c>
      <c r="F199" s="30" t="s">
        <v>19</v>
      </c>
      <c r="G199" s="30"/>
      <c r="H199" s="30"/>
      <c r="I199" s="30"/>
      <c r="J199" s="30"/>
      <c r="K199" s="30"/>
    </row>
    <row r="200" spans="1:11" ht="48" customHeight="1">
      <c r="A200" s="29" t="s">
        <v>733</v>
      </c>
      <c r="B200" s="29" t="s">
        <v>734</v>
      </c>
      <c r="C200" s="29" t="s">
        <v>1142</v>
      </c>
      <c r="D200" s="32" t="s">
        <v>735</v>
      </c>
      <c r="E200" s="29" t="s">
        <v>736</v>
      </c>
      <c r="F200" s="30" t="s">
        <v>33</v>
      </c>
      <c r="G200" s="30" t="s">
        <v>186</v>
      </c>
      <c r="H200" s="31">
        <v>0.65</v>
      </c>
      <c r="I200" s="30"/>
      <c r="J200" s="30" t="s">
        <v>1143</v>
      </c>
      <c r="K200" s="30"/>
    </row>
    <row r="201" spans="1:11" ht="48" customHeight="1">
      <c r="A201" s="29" t="s">
        <v>737</v>
      </c>
      <c r="B201" s="29" t="s">
        <v>738</v>
      </c>
      <c r="C201" s="29" t="s">
        <v>739</v>
      </c>
      <c r="D201" s="32" t="s">
        <v>740</v>
      </c>
      <c r="E201" s="29" t="s">
        <v>85</v>
      </c>
      <c r="F201" s="30"/>
      <c r="G201" s="30"/>
      <c r="H201" s="30"/>
      <c r="I201" s="30"/>
      <c r="J201" s="30"/>
      <c r="K201" s="29" t="s">
        <v>629</v>
      </c>
    </row>
    <row r="202" spans="1:11" ht="36" customHeight="1">
      <c r="A202" s="29" t="s">
        <v>741</v>
      </c>
      <c r="B202" s="29" t="s">
        <v>742</v>
      </c>
      <c r="C202" s="29" t="s">
        <v>743</v>
      </c>
      <c r="D202" s="32" t="s">
        <v>744</v>
      </c>
      <c r="E202" s="29" t="s">
        <v>745</v>
      </c>
      <c r="F202" s="30" t="s">
        <v>15</v>
      </c>
      <c r="G202" s="30" t="s">
        <v>75</v>
      </c>
      <c r="H202" s="31">
        <v>0.45</v>
      </c>
      <c r="I202" s="30"/>
      <c r="J202" s="30" t="s">
        <v>1165</v>
      </c>
      <c r="K202" s="30"/>
    </row>
    <row r="203" spans="1:11" ht="36" customHeight="1">
      <c r="A203" s="29" t="s">
        <v>746</v>
      </c>
      <c r="B203" s="29" t="s">
        <v>712</v>
      </c>
      <c r="C203" s="29" t="s">
        <v>747</v>
      </c>
      <c r="D203" s="32" t="s">
        <v>714</v>
      </c>
      <c r="E203" s="29" t="s">
        <v>247</v>
      </c>
      <c r="F203" s="30" t="s">
        <v>19</v>
      </c>
      <c r="G203" s="30" t="s">
        <v>748</v>
      </c>
      <c r="H203" s="30"/>
      <c r="I203" s="30"/>
      <c r="J203" s="30"/>
      <c r="K203" s="30"/>
    </row>
    <row r="204" spans="1:11" ht="36" customHeight="1">
      <c r="A204" s="29" t="s">
        <v>749</v>
      </c>
      <c r="B204" s="29" t="s">
        <v>750</v>
      </c>
      <c r="C204" s="29" t="s">
        <v>751</v>
      </c>
      <c r="D204" s="32" t="s">
        <v>752</v>
      </c>
      <c r="E204" s="29" t="s">
        <v>164</v>
      </c>
      <c r="F204" s="30" t="s">
        <v>19</v>
      </c>
      <c r="G204" s="30" t="s">
        <v>619</v>
      </c>
      <c r="H204" s="30"/>
      <c r="I204" s="30"/>
      <c r="J204" s="30"/>
      <c r="K204" s="30"/>
    </row>
    <row r="205" spans="1:11" ht="36" customHeight="1">
      <c r="A205" s="29" t="s">
        <v>1113</v>
      </c>
      <c r="B205" s="29" t="s">
        <v>251</v>
      </c>
      <c r="C205" s="38" t="s">
        <v>1114</v>
      </c>
      <c r="D205" s="29" t="s">
        <v>253</v>
      </c>
      <c r="E205" s="29" t="s">
        <v>164</v>
      </c>
      <c r="F205" s="30"/>
      <c r="G205" s="30" t="s">
        <v>1115</v>
      </c>
      <c r="H205" s="30"/>
      <c r="I205" s="30" t="s">
        <v>1117</v>
      </c>
      <c r="J205" s="30"/>
      <c r="K205" s="30"/>
    </row>
    <row r="206" spans="1:11" ht="15.75">
      <c r="A206" s="29" t="s">
        <v>1135</v>
      </c>
      <c r="B206" s="29" t="s">
        <v>1136</v>
      </c>
      <c r="C206" s="43" t="s">
        <v>1137</v>
      </c>
      <c r="D206" s="29" t="s">
        <v>1139</v>
      </c>
      <c r="E206" s="29" t="s">
        <v>1140</v>
      </c>
      <c r="F206" s="43" t="s">
        <v>1141</v>
      </c>
      <c r="G206" s="29" t="s">
        <v>1138</v>
      </c>
      <c r="H206" s="44">
        <v>0.33</v>
      </c>
      <c r="J206" s="29" t="s">
        <v>1144</v>
      </c>
    </row>
    <row r="207" spans="1:11" ht="36" customHeight="1">
      <c r="A207" s="29" t="s">
        <v>1156</v>
      </c>
      <c r="B207" s="29" t="s">
        <v>658</v>
      </c>
      <c r="C207" s="29" t="s">
        <v>1157</v>
      </c>
      <c r="D207" s="32" t="s">
        <v>660</v>
      </c>
      <c r="E207" s="29" t="s">
        <v>407</v>
      </c>
      <c r="F207" s="43" t="s">
        <v>1141</v>
      </c>
      <c r="G207" s="45" t="s">
        <v>1158</v>
      </c>
      <c r="H207" s="31">
        <v>0.3</v>
      </c>
      <c r="I207" s="30"/>
      <c r="J207" s="29" t="s">
        <v>1159</v>
      </c>
      <c r="K207" s="30"/>
    </row>
    <row r="208" spans="1:11" ht="36" customHeight="1">
      <c r="A208" s="29" t="s">
        <v>1162</v>
      </c>
      <c r="B208" s="29" t="s">
        <v>356</v>
      </c>
      <c r="C208" s="36" t="s">
        <v>1163</v>
      </c>
      <c r="D208" s="29" t="s">
        <v>358</v>
      </c>
      <c r="E208" s="29" t="s">
        <v>32</v>
      </c>
      <c r="F208" s="30" t="s">
        <v>123</v>
      </c>
      <c r="G208" s="30"/>
      <c r="H208" s="31">
        <v>0.9</v>
      </c>
      <c r="I208" s="30"/>
      <c r="J208" s="29" t="s">
        <v>1164</v>
      </c>
      <c r="K208" s="30"/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87"/>
  <sheetViews>
    <sheetView showGridLines="0" tabSelected="1" workbookViewId="0">
      <pane xSplit="4" ySplit="1" topLeftCell="E2" activePane="bottomRight" state="frozen"/>
      <selection pane="topRight"/>
      <selection pane="bottomLeft"/>
      <selection pane="bottomRight" activeCell="I7" sqref="I7"/>
    </sheetView>
  </sheetViews>
  <sheetFormatPr defaultRowHeight="14.25"/>
  <cols>
    <col min="1" max="1" width="13" customWidth="1"/>
    <col min="2" max="2" width="12" customWidth="1"/>
    <col min="3" max="3" width="20" customWidth="1"/>
    <col min="4" max="4" width="48" customWidth="1"/>
    <col min="5" max="5" width="16" customWidth="1"/>
    <col min="6" max="6" width="13" customWidth="1"/>
    <col min="7" max="7" width="18" customWidth="1"/>
    <col min="8" max="8" width="44" customWidth="1"/>
    <col min="9" max="9" width="55" customWidth="1"/>
    <col min="10" max="11" width="23" customWidth="1"/>
    <col min="12" max="13" width="18" customWidth="1"/>
    <col min="14" max="14" width="44" customWidth="1"/>
    <col min="15" max="15" width="16" customWidth="1"/>
    <col min="16" max="16" width="36.25" customWidth="1"/>
    <col min="17" max="17" width="11" customWidth="1"/>
    <col min="18" max="18" width="13" customWidth="1"/>
    <col min="19" max="19" width="46" customWidth="1"/>
    <col min="20" max="20" width="32.25" customWidth="1"/>
    <col min="21" max="21" width="44.5" customWidth="1"/>
    <col min="22" max="22" width="40" customWidth="1"/>
    <col min="23" max="24" width="16" customWidth="1"/>
    <col min="25" max="25" width="42" customWidth="1"/>
    <col min="26" max="26" width="14" customWidth="1"/>
    <col min="27" max="27" width="62" customWidth="1"/>
  </cols>
  <sheetData>
    <row r="1" spans="1:27" ht="39.950000000000003" customHeight="1">
      <c r="A1" s="2" t="s">
        <v>753</v>
      </c>
      <c r="B1" s="2" t="s">
        <v>0</v>
      </c>
      <c r="C1" s="2" t="s">
        <v>754</v>
      </c>
      <c r="D1" s="2" t="s">
        <v>755</v>
      </c>
      <c r="E1" s="2" t="s">
        <v>756</v>
      </c>
      <c r="F1" s="2" t="s">
        <v>757</v>
      </c>
      <c r="G1" s="2" t="s">
        <v>758</v>
      </c>
      <c r="H1" s="2" t="s">
        <v>759</v>
      </c>
      <c r="I1" s="2" t="s">
        <v>760</v>
      </c>
      <c r="J1" s="2" t="s">
        <v>761</v>
      </c>
      <c r="K1" s="2" t="s">
        <v>762</v>
      </c>
      <c r="L1" s="50" t="s">
        <v>1183</v>
      </c>
      <c r="M1" s="2" t="s">
        <v>763</v>
      </c>
      <c r="N1" s="2" t="s">
        <v>764</v>
      </c>
      <c r="O1" s="2" t="s">
        <v>765</v>
      </c>
      <c r="P1" s="2" t="s">
        <v>766</v>
      </c>
      <c r="Q1" s="2" t="s">
        <v>767</v>
      </c>
      <c r="R1" s="2" t="s">
        <v>768</v>
      </c>
      <c r="S1" s="2" t="s">
        <v>769</v>
      </c>
      <c r="T1" s="2" t="s">
        <v>770</v>
      </c>
      <c r="U1" s="2" t="s">
        <v>771</v>
      </c>
      <c r="V1" s="2" t="s">
        <v>772</v>
      </c>
      <c r="W1" s="2" t="s">
        <v>773</v>
      </c>
      <c r="X1" s="2" t="s">
        <v>774</v>
      </c>
      <c r="Y1" s="2" t="s">
        <v>775</v>
      </c>
      <c r="Z1" s="2" t="s">
        <v>776</v>
      </c>
      <c r="AA1" s="2" t="s">
        <v>9</v>
      </c>
    </row>
    <row r="2" spans="1:27" ht="57.95" customHeight="1">
      <c r="A2" s="8" t="s">
        <v>777</v>
      </c>
      <c r="B2" s="8" t="s">
        <v>10</v>
      </c>
      <c r="C2" s="8" t="str">
        <f>IF(B2="","",IFERROR(INDEX(SakesV5[銘柄],MATCH(B2,SakesV5[酒款ID],0)),"酒款ID未找到"))</f>
        <v>十四代</v>
      </c>
      <c r="D2" s="8" t="str">
        <f>IF(B2="","",IFERROR(INDEX(SakesV5[酒款],MATCH(B2,SakesV5[酒款ID],0)),"酒款ID未找到"))</f>
        <v>大極上諸白 龍落之子</v>
      </c>
      <c r="E2" s="8" t="s">
        <v>778</v>
      </c>
      <c r="F2" s="8" t="s">
        <v>779</v>
      </c>
      <c r="G2" s="8" t="s">
        <v>780</v>
      </c>
      <c r="H2" s="9" t="s">
        <v>781</v>
      </c>
      <c r="I2" s="52" t="s">
        <v>1255</v>
      </c>
      <c r="J2" s="22">
        <v>4</v>
      </c>
      <c r="K2" s="22">
        <v>4.2</v>
      </c>
      <c r="L2" s="10">
        <v>60</v>
      </c>
      <c r="M2" s="18"/>
      <c r="N2" s="9" t="s">
        <v>781</v>
      </c>
      <c r="O2" s="11"/>
      <c r="P2" s="10">
        <v>18000</v>
      </c>
      <c r="Q2" s="8" t="s">
        <v>782</v>
      </c>
      <c r="R2" s="8" t="s">
        <v>800</v>
      </c>
      <c r="S2" s="64" t="s">
        <v>1218</v>
      </c>
      <c r="T2" s="39" t="s">
        <v>1253</v>
      </c>
      <c r="U2" s="53" t="s">
        <v>1254</v>
      </c>
      <c r="V2" s="8"/>
      <c r="W2" s="8"/>
      <c r="X2" s="11"/>
      <c r="Y2" s="8"/>
      <c r="Z2" s="8"/>
      <c r="AA2" s="9" t="s">
        <v>783</v>
      </c>
    </row>
    <row r="3" spans="1:27" ht="57.95" customHeight="1">
      <c r="A3" s="8" t="s">
        <v>784</v>
      </c>
      <c r="B3" s="8" t="s">
        <v>17</v>
      </c>
      <c r="C3" s="8" t="str">
        <f>IF(B3="","",IFERROR(INDEX(SakesV5[銘柄],MATCH(B3,SakesV5[酒款ID],0)),"酒款ID未找到"))</f>
        <v>十四代</v>
      </c>
      <c r="D3" s="8" t="str">
        <f>IF(B3="","",IFERROR(INDEX(SakesV5[酒款],MATCH(B3,SakesV5[酒款ID],0)),"酒款ID未找到"))</f>
        <v>中取 純米無濾過</v>
      </c>
      <c r="E3" s="8" t="s">
        <v>785</v>
      </c>
      <c r="F3" s="8" t="s">
        <v>779</v>
      </c>
      <c r="G3" s="8" t="s">
        <v>786</v>
      </c>
      <c r="H3" s="9" t="s">
        <v>1215</v>
      </c>
      <c r="I3" s="9"/>
      <c r="J3" s="22">
        <v>3.9</v>
      </c>
      <c r="K3" s="22">
        <v>4</v>
      </c>
      <c r="L3" s="10">
        <v>100</v>
      </c>
      <c r="M3" s="18"/>
      <c r="N3" s="9" t="s">
        <v>1215</v>
      </c>
      <c r="O3" s="11"/>
      <c r="P3" s="10"/>
      <c r="Q3" s="8" t="s">
        <v>787</v>
      </c>
      <c r="R3" s="8" t="s">
        <v>800</v>
      </c>
      <c r="S3" s="9" t="s">
        <v>788</v>
      </c>
      <c r="T3" s="8"/>
      <c r="U3" s="8"/>
      <c r="V3" s="8"/>
      <c r="W3" s="8"/>
      <c r="X3" s="11"/>
      <c r="Y3" s="8"/>
      <c r="Z3" s="8"/>
      <c r="AA3" s="9"/>
    </row>
    <row r="4" spans="1:27" ht="57.95" customHeight="1">
      <c r="A4" s="8" t="s">
        <v>789</v>
      </c>
      <c r="B4" s="8" t="s">
        <v>21</v>
      </c>
      <c r="C4" s="8" t="str">
        <f>IF(B4="","",IFERROR(INDEX(SakesV5[銘柄],MATCH(B4,SakesV5[酒款ID],0)),"酒款ID未找到"))</f>
        <v>十四代</v>
      </c>
      <c r="D4" s="8" t="str">
        <f>IF(B4="","",IFERROR(INDEX(SakesV5[酒款],MATCH(B4,SakesV5[酒款ID],0)),"酒款ID未找到"))</f>
        <v>荒走り上諸白 純米大吟釀 生酒</v>
      </c>
      <c r="E4" s="8" t="s">
        <v>790</v>
      </c>
      <c r="F4" s="8" t="s">
        <v>779</v>
      </c>
      <c r="G4" s="8" t="s">
        <v>1012</v>
      </c>
      <c r="H4" s="9" t="s">
        <v>1215</v>
      </c>
      <c r="I4" s="64" t="s">
        <v>1260</v>
      </c>
      <c r="J4" s="22">
        <v>3.9</v>
      </c>
      <c r="K4" s="22">
        <v>4</v>
      </c>
      <c r="L4" s="10"/>
      <c r="M4" s="18">
        <v>1800</v>
      </c>
      <c r="N4" s="9" t="s">
        <v>1215</v>
      </c>
      <c r="O4" s="11"/>
      <c r="P4" s="10">
        <v>20000</v>
      </c>
      <c r="Q4" s="8" t="s">
        <v>787</v>
      </c>
      <c r="R4" s="8" t="s">
        <v>795</v>
      </c>
      <c r="S4" s="54" t="s">
        <v>1196</v>
      </c>
      <c r="T4" s="39" t="s">
        <v>1250</v>
      </c>
      <c r="U4" s="39" t="s">
        <v>1251</v>
      </c>
      <c r="V4" s="8"/>
      <c r="W4" s="8"/>
      <c r="X4" s="11"/>
      <c r="Y4" s="8"/>
      <c r="Z4" s="8"/>
      <c r="AA4" s="9"/>
    </row>
    <row r="5" spans="1:27" ht="57.95" customHeight="1">
      <c r="A5" s="8" t="s">
        <v>791</v>
      </c>
      <c r="B5" s="8" t="s">
        <v>24</v>
      </c>
      <c r="C5" s="8" t="str">
        <f>IF(B5="","",IFERROR(INDEX(SakesV5[銘柄],MATCH(B5,SakesV5[酒款ID],0)),"酒款ID未找到"))</f>
        <v>十四代</v>
      </c>
      <c r="D5" s="8" t="str">
        <f>IF(B5="","",IFERROR(INDEX(SakesV5[酒款],MATCH(B5,SakesV5[酒款ID],0)),"酒款ID未找到"))</f>
        <v>雪女神 EXTRA</v>
      </c>
      <c r="E5" s="8" t="s">
        <v>792</v>
      </c>
      <c r="F5" s="8" t="s">
        <v>793</v>
      </c>
      <c r="G5" s="8" t="s">
        <v>1012</v>
      </c>
      <c r="H5" s="9" t="s">
        <v>1215</v>
      </c>
      <c r="I5" s="64" t="s">
        <v>1258</v>
      </c>
      <c r="J5" s="22">
        <v>4</v>
      </c>
      <c r="K5" s="22">
        <v>4</v>
      </c>
      <c r="L5" s="10"/>
      <c r="M5" s="18">
        <v>1800</v>
      </c>
      <c r="N5" s="8" t="s">
        <v>1215</v>
      </c>
      <c r="O5" s="11"/>
      <c r="P5" s="10">
        <v>25000</v>
      </c>
      <c r="Q5" s="8" t="s">
        <v>787</v>
      </c>
      <c r="R5" s="8" t="s">
        <v>795</v>
      </c>
      <c r="S5" s="54" t="s">
        <v>1196</v>
      </c>
      <c r="T5" s="53" t="s">
        <v>1256</v>
      </c>
      <c r="U5" s="39" t="s">
        <v>1257</v>
      </c>
      <c r="V5" s="8"/>
      <c r="W5" s="8"/>
      <c r="X5" s="11"/>
      <c r="Y5" s="8"/>
      <c r="Z5" s="8"/>
      <c r="AA5" s="9" t="s">
        <v>796</v>
      </c>
    </row>
    <row r="6" spans="1:27" ht="57.95" customHeight="1">
      <c r="A6" s="8" t="s">
        <v>797</v>
      </c>
      <c r="B6" s="8" t="s">
        <v>27</v>
      </c>
      <c r="C6" s="8" t="str">
        <f>IF(B6="","",IFERROR(INDEX(SakesV5[銘柄],MATCH(B6,SakesV5[酒款ID],0)),"酒款ID未找到"))</f>
        <v>十四代</v>
      </c>
      <c r="D6" s="8" t="str">
        <f>IF(B6="","",IFERROR(INDEX(SakesV5[酒款],MATCH(B6,SakesV5[酒款ID],0)),"酒款ID未找到"))</f>
        <v>2026 萬虹</v>
      </c>
      <c r="E6" s="8" t="s">
        <v>798</v>
      </c>
      <c r="F6" s="8" t="s">
        <v>793</v>
      </c>
      <c r="G6" s="8" t="s">
        <v>1012</v>
      </c>
      <c r="H6" s="9" t="s">
        <v>1215</v>
      </c>
      <c r="I6" s="68" t="s">
        <v>1259</v>
      </c>
      <c r="J6" s="22">
        <v>4.2</v>
      </c>
      <c r="K6" s="22">
        <v>4.5</v>
      </c>
      <c r="L6" s="10"/>
      <c r="M6" s="18">
        <v>720</v>
      </c>
      <c r="N6" s="8" t="s">
        <v>1215</v>
      </c>
      <c r="O6" s="11"/>
      <c r="P6" s="10">
        <v>25000</v>
      </c>
      <c r="Q6" s="8" t="s">
        <v>787</v>
      </c>
      <c r="R6" s="8" t="s">
        <v>795</v>
      </c>
      <c r="S6" s="54" t="s">
        <v>1196</v>
      </c>
      <c r="T6" s="53" t="s">
        <v>1249</v>
      </c>
      <c r="U6" s="53" t="s">
        <v>1252</v>
      </c>
      <c r="V6" s="8"/>
      <c r="W6" s="8"/>
      <c r="X6" s="11"/>
      <c r="Y6" s="8"/>
      <c r="Z6" s="8"/>
      <c r="AA6" s="9" t="s">
        <v>796</v>
      </c>
    </row>
    <row r="7" spans="1:27" ht="57.95" customHeight="1">
      <c r="A7" s="8" t="s">
        <v>799</v>
      </c>
      <c r="B7" s="8" t="s">
        <v>29</v>
      </c>
      <c r="C7" s="8" t="str">
        <f>IF(B7="","",IFERROR(INDEX(SakesV5[銘柄],MATCH(B7,SakesV5[酒款ID],0)),"酒款ID未找到"))</f>
        <v>亞麻貓</v>
      </c>
      <c r="D7" s="8" t="str">
        <f>IF(B7="","",IFERROR(INDEX(SakesV5[酒款],MATCH(B7,SakesV5[酒款ID],0)),"酒款ID未找到"))</f>
        <v>亞麻貓 sparkling</v>
      </c>
      <c r="E7" s="8" t="s">
        <v>778</v>
      </c>
      <c r="F7" s="8" t="s">
        <v>779</v>
      </c>
      <c r="G7" s="8" t="s">
        <v>780</v>
      </c>
      <c r="H7" s="9" t="s">
        <v>781</v>
      </c>
      <c r="I7" s="9"/>
      <c r="J7" s="22"/>
      <c r="K7" s="22"/>
      <c r="L7" s="10">
        <v>60</v>
      </c>
      <c r="M7" s="18"/>
      <c r="N7" s="9" t="s">
        <v>781</v>
      </c>
      <c r="O7" s="11"/>
      <c r="P7" s="10">
        <v>18000</v>
      </c>
      <c r="Q7" s="8" t="s">
        <v>782</v>
      </c>
      <c r="R7" s="8" t="s">
        <v>800</v>
      </c>
      <c r="S7" s="64" t="s">
        <v>1218</v>
      </c>
      <c r="T7" s="8"/>
      <c r="U7" s="8"/>
      <c r="V7" s="8"/>
      <c r="W7" s="8"/>
      <c r="X7" s="11"/>
      <c r="Y7" s="8"/>
      <c r="Z7" s="8"/>
      <c r="AA7" s="9" t="s">
        <v>783</v>
      </c>
    </row>
    <row r="8" spans="1:27" ht="57.95" customHeight="1">
      <c r="A8" s="8" t="s">
        <v>801</v>
      </c>
      <c r="B8" s="8" t="s">
        <v>35</v>
      </c>
      <c r="C8" s="8" t="str">
        <f>IF(B8="","",IFERROR(INDEX(SakesV5[銘柄],MATCH(B8,SakesV5[酒款ID],0)),"酒款ID未找到"))</f>
        <v>No.6</v>
      </c>
      <c r="D8" s="8" t="str">
        <f>IF(B8="","",IFERROR(INDEX(SakesV5[酒款],MATCH(B8,SakesV5[酒款ID],0)),"酒款ID未找到"))</f>
        <v>No.6 S-type Direct Path</v>
      </c>
      <c r="E8" s="8" t="s">
        <v>778</v>
      </c>
      <c r="F8" s="8" t="s">
        <v>779</v>
      </c>
      <c r="G8" s="8" t="s">
        <v>780</v>
      </c>
      <c r="H8" s="9" t="s">
        <v>781</v>
      </c>
      <c r="I8" s="9"/>
      <c r="J8" s="22"/>
      <c r="K8" s="22"/>
      <c r="L8" s="10">
        <v>60</v>
      </c>
      <c r="M8" s="18"/>
      <c r="N8" s="9" t="s">
        <v>781</v>
      </c>
      <c r="O8" s="11"/>
      <c r="P8" s="10">
        <v>18000</v>
      </c>
      <c r="Q8" s="8" t="s">
        <v>782</v>
      </c>
      <c r="R8" s="8" t="s">
        <v>800</v>
      </c>
      <c r="S8" s="64" t="s">
        <v>1218</v>
      </c>
      <c r="T8" s="8"/>
      <c r="U8" s="8"/>
      <c r="V8" s="8"/>
      <c r="W8" s="8"/>
      <c r="X8" s="11"/>
      <c r="Y8" s="8"/>
      <c r="Z8" s="8"/>
      <c r="AA8" s="9" t="s">
        <v>783</v>
      </c>
    </row>
    <row r="9" spans="1:27" ht="57.95" customHeight="1">
      <c r="A9" s="8" t="s">
        <v>802</v>
      </c>
      <c r="B9" s="8" t="s">
        <v>38</v>
      </c>
      <c r="C9" s="8" t="str">
        <f>IF(B9="","",IFERROR(INDEX(SakesV5[銘柄],MATCH(B9,SakesV5[酒款ID],0)),"酒款ID未找到"))</f>
        <v>colors</v>
      </c>
      <c r="D9" s="8" t="str">
        <f>IF(B9="","",IFERROR(INDEX(SakesV5[酒款],MATCH(B9,SakesV5[酒款ID],0)),"酒款ID未找到"))</f>
        <v>Ecru colors</v>
      </c>
      <c r="E9" s="8" t="s">
        <v>778</v>
      </c>
      <c r="F9" s="8" t="s">
        <v>779</v>
      </c>
      <c r="G9" s="8" t="s">
        <v>780</v>
      </c>
      <c r="H9" s="9" t="s">
        <v>781</v>
      </c>
      <c r="I9" s="9"/>
      <c r="J9" s="22"/>
      <c r="K9" s="22"/>
      <c r="L9" s="10">
        <v>60</v>
      </c>
      <c r="M9" s="18"/>
      <c r="N9" s="9" t="s">
        <v>781</v>
      </c>
      <c r="O9" s="11"/>
      <c r="P9" s="10">
        <v>18000</v>
      </c>
      <c r="Q9" s="8" t="s">
        <v>782</v>
      </c>
      <c r="R9" s="8" t="s">
        <v>800</v>
      </c>
      <c r="S9" s="64" t="s">
        <v>1218</v>
      </c>
      <c r="T9" s="8"/>
      <c r="U9" s="8"/>
      <c r="V9" s="8"/>
      <c r="W9" s="8"/>
      <c r="X9" s="11"/>
      <c r="Y9" s="8"/>
      <c r="Z9" s="8"/>
      <c r="AA9" s="9" t="s">
        <v>783</v>
      </c>
    </row>
    <row r="10" spans="1:27" ht="57.95" customHeight="1">
      <c r="A10" s="8" t="s">
        <v>803</v>
      </c>
      <c r="B10" s="8" t="s">
        <v>41</v>
      </c>
      <c r="C10" s="8" t="str">
        <f>IF(B10="","",IFERROR(INDEX(SakesV5[銘柄],MATCH(B10,SakesV5[酒款ID],0)),"酒款ID未找到"))</f>
        <v>No.6</v>
      </c>
      <c r="D10" s="8" t="str">
        <f>IF(B10="","",IFERROR(INDEX(SakesV5[酒款],MATCH(B10,SakesV5[酒款ID],0)),"酒款ID未找到"))</f>
        <v>A-Type 2026</v>
      </c>
      <c r="E10" s="8" t="s">
        <v>790</v>
      </c>
      <c r="F10" s="8" t="s">
        <v>793</v>
      </c>
      <c r="G10" s="8" t="s">
        <v>804</v>
      </c>
      <c r="H10" s="9" t="s">
        <v>1215</v>
      </c>
      <c r="I10" s="9"/>
      <c r="J10" s="22"/>
      <c r="K10" s="22"/>
      <c r="L10" s="10"/>
      <c r="M10" s="18">
        <v>720</v>
      </c>
      <c r="N10" s="9" t="s">
        <v>1215</v>
      </c>
      <c r="O10" s="11"/>
      <c r="P10" s="10">
        <v>20000</v>
      </c>
      <c r="Q10" s="8" t="s">
        <v>787</v>
      </c>
      <c r="R10" s="8" t="s">
        <v>800</v>
      </c>
      <c r="S10" s="9"/>
      <c r="T10" s="8"/>
      <c r="U10" s="8"/>
      <c r="V10" s="8"/>
      <c r="W10" s="8"/>
      <c r="X10" s="11"/>
      <c r="Y10" s="8"/>
      <c r="Z10" s="8"/>
      <c r="AA10" s="9" t="s">
        <v>805</v>
      </c>
    </row>
    <row r="11" spans="1:27" ht="57.95" customHeight="1">
      <c r="A11" s="8" t="s">
        <v>806</v>
      </c>
      <c r="B11" s="8" t="s">
        <v>43</v>
      </c>
      <c r="C11" s="8" t="str">
        <f>IF(B11="","",IFERROR(INDEX(SakesV5[銘柄],MATCH(B11,SakesV5[酒款ID],0)),"酒款ID未找到"))</f>
        <v>醉鯨</v>
      </c>
      <c r="D11" s="8" t="str">
        <f>IF(B11="","",IFERROR(INDEX(SakesV5[酒款],MATCH(B11,SakesV5[酒款ID],0)),"酒款ID未找到"))</f>
        <v>純米吟醸 吟麗 秋あがり</v>
      </c>
      <c r="E11" s="8" t="s">
        <v>778</v>
      </c>
      <c r="F11" s="8" t="s">
        <v>779</v>
      </c>
      <c r="G11" s="8" t="s">
        <v>780</v>
      </c>
      <c r="H11" s="9" t="s">
        <v>781</v>
      </c>
      <c r="I11" s="9"/>
      <c r="J11" s="22"/>
      <c r="K11" s="22"/>
      <c r="L11" s="10">
        <v>60</v>
      </c>
      <c r="M11" s="18"/>
      <c r="N11" s="9" t="s">
        <v>781</v>
      </c>
      <c r="O11" s="11"/>
      <c r="P11" s="10">
        <v>18000</v>
      </c>
      <c r="Q11" s="8" t="s">
        <v>782</v>
      </c>
      <c r="R11" s="8" t="s">
        <v>800</v>
      </c>
      <c r="S11" s="64" t="s">
        <v>1218</v>
      </c>
      <c r="T11" s="8"/>
      <c r="U11" s="8"/>
      <c r="V11" s="8"/>
      <c r="W11" s="8"/>
      <c r="X11" s="11"/>
      <c r="Y11" s="8"/>
      <c r="Z11" s="8"/>
      <c r="AA11" s="9" t="s">
        <v>783</v>
      </c>
    </row>
    <row r="12" spans="1:27" ht="57.95" customHeight="1">
      <c r="A12" s="8" t="s">
        <v>807</v>
      </c>
      <c r="B12" s="8" t="s">
        <v>49</v>
      </c>
      <c r="C12" s="8" t="str">
        <f>IF(B12="","",IFERROR(INDEX(SakesV5[銘柄],MATCH(B12,SakesV5[酒款ID],0)),"酒款ID未找到"))</f>
        <v>醉鯨</v>
      </c>
      <c r="D12" s="8" t="str">
        <f>IF(B12="","",IFERROR(INDEX(SakesV5[酒款],MATCH(B12,SakesV5[酒款ID],0)),"酒款ID未找到"))</f>
        <v>吟麗 SUMMER</v>
      </c>
      <c r="E12" s="8" t="s">
        <v>785</v>
      </c>
      <c r="F12" s="8" t="s">
        <v>793</v>
      </c>
      <c r="G12" s="8" t="s">
        <v>794</v>
      </c>
      <c r="H12" s="14" t="s">
        <v>808</v>
      </c>
      <c r="I12" s="9"/>
      <c r="J12" s="22"/>
      <c r="K12" s="22"/>
      <c r="L12" s="10"/>
      <c r="M12" s="18">
        <v>720</v>
      </c>
      <c r="N12" s="8" t="s">
        <v>809</v>
      </c>
      <c r="O12" s="11"/>
      <c r="P12" s="10">
        <v>1180</v>
      </c>
      <c r="Q12" s="8" t="s">
        <v>787</v>
      </c>
      <c r="R12" s="8" t="s">
        <v>795</v>
      </c>
      <c r="S12" s="9" t="s">
        <v>810</v>
      </c>
      <c r="T12" s="8"/>
      <c r="U12" s="8"/>
      <c r="V12" s="8"/>
      <c r="W12" s="8"/>
      <c r="X12" s="11"/>
      <c r="Y12" s="8"/>
      <c r="Z12" s="8"/>
      <c r="AA12" s="9" t="s">
        <v>805</v>
      </c>
    </row>
    <row r="13" spans="1:27" ht="57.95" customHeight="1">
      <c r="A13" s="8" t="s">
        <v>811</v>
      </c>
      <c r="B13" s="8" t="s">
        <v>51</v>
      </c>
      <c r="C13" s="8" t="str">
        <f>IF(B13="","",IFERROR(INDEX(SakesV5[銘柄],MATCH(B13,SakesV5[酒款ID],0)),"酒款ID未找到"))</f>
        <v>マル飛</v>
      </c>
      <c r="D13" s="8" t="str">
        <f>IF(B13="","",IFERROR(INDEX(SakesV5[酒款],MATCH(B13,SakesV5[酒款ID],0)),"酒款ID未找到"))</f>
        <v>マルヒのマルヒ 生酒</v>
      </c>
      <c r="E13" s="8" t="s">
        <v>778</v>
      </c>
      <c r="F13" s="8" t="s">
        <v>779</v>
      </c>
      <c r="G13" s="8" t="s">
        <v>780</v>
      </c>
      <c r="H13" s="9" t="s">
        <v>781</v>
      </c>
      <c r="I13" s="9"/>
      <c r="J13" s="22"/>
      <c r="K13" s="22"/>
      <c r="L13" s="10">
        <v>60</v>
      </c>
      <c r="M13" s="18"/>
      <c r="N13" s="9" t="s">
        <v>781</v>
      </c>
      <c r="O13" s="11"/>
      <c r="P13" s="10">
        <v>18000</v>
      </c>
      <c r="Q13" s="8" t="s">
        <v>782</v>
      </c>
      <c r="R13" s="8" t="s">
        <v>800</v>
      </c>
      <c r="S13" s="64" t="s">
        <v>1218</v>
      </c>
      <c r="T13" s="8"/>
      <c r="U13" s="8"/>
      <c r="V13" s="8"/>
      <c r="W13" s="8"/>
      <c r="X13" s="11"/>
      <c r="Y13" s="8"/>
      <c r="Z13" s="8"/>
      <c r="AA13" s="9" t="s">
        <v>783</v>
      </c>
    </row>
    <row r="14" spans="1:27" ht="57.95" customHeight="1">
      <c r="A14" s="8" t="s">
        <v>812</v>
      </c>
      <c r="B14" s="8" t="s">
        <v>55</v>
      </c>
      <c r="C14" s="8" t="str">
        <f>IF(B14="","",IFERROR(INDEX(SakesV5[銘柄],MATCH(B14,SakesV5[酒款ID],0)),"酒款ID未找到"))</f>
        <v>飛囀</v>
      </c>
      <c r="D14" s="8" t="str">
        <f>IF(B14="","",IFERROR(INDEX(SakesV5[酒款],MATCH(B14,SakesV5[酒款ID],0)),"酒款ID未找到"))</f>
        <v>HITEN 鵠</v>
      </c>
      <c r="E14" s="8" t="s">
        <v>778</v>
      </c>
      <c r="F14" s="8" t="s">
        <v>779</v>
      </c>
      <c r="G14" s="8" t="s">
        <v>780</v>
      </c>
      <c r="H14" s="9" t="s">
        <v>781</v>
      </c>
      <c r="I14" s="9"/>
      <c r="J14" s="22"/>
      <c r="K14" s="22"/>
      <c r="L14" s="10">
        <v>60</v>
      </c>
      <c r="M14" s="18"/>
      <c r="N14" s="9" t="s">
        <v>781</v>
      </c>
      <c r="O14" s="11"/>
      <c r="P14" s="10">
        <v>18000</v>
      </c>
      <c r="Q14" s="8" t="s">
        <v>782</v>
      </c>
      <c r="R14" s="8" t="s">
        <v>800</v>
      </c>
      <c r="S14" s="64" t="s">
        <v>1218</v>
      </c>
      <c r="T14" s="8"/>
      <c r="U14" s="8"/>
      <c r="V14" s="8"/>
      <c r="W14" s="8"/>
      <c r="X14" s="11"/>
      <c r="Y14" s="8"/>
      <c r="Z14" s="8"/>
      <c r="AA14" s="9" t="s">
        <v>783</v>
      </c>
    </row>
    <row r="15" spans="1:27" ht="57.95" customHeight="1">
      <c r="A15" s="8" t="s">
        <v>813</v>
      </c>
      <c r="B15" s="8" t="s">
        <v>58</v>
      </c>
      <c r="C15" s="8" t="str">
        <f>IF(B15="","",IFERROR(INDEX(SakesV5[銘柄],MATCH(B15,SakesV5[酒款ID],0)),"酒款ID未找到"))</f>
        <v>マル飛</v>
      </c>
      <c r="D15" s="8" t="str">
        <f>IF(B15="","",IFERROR(INDEX(SakesV5[酒款],MATCH(B15,SakesV5[酒款ID],0)),"酒款ID未找到"))</f>
        <v>山廢 限定生酒</v>
      </c>
      <c r="E15" s="8" t="s">
        <v>792</v>
      </c>
      <c r="F15" s="8" t="s">
        <v>793</v>
      </c>
      <c r="G15" s="8" t="s">
        <v>794</v>
      </c>
      <c r="H15" s="14" t="s">
        <v>808</v>
      </c>
      <c r="I15" s="9"/>
      <c r="J15" s="22"/>
      <c r="K15" s="22"/>
      <c r="L15" s="10"/>
      <c r="M15" s="18">
        <v>720</v>
      </c>
      <c r="N15" s="9" t="s">
        <v>814</v>
      </c>
      <c r="O15" s="11"/>
      <c r="P15" s="10">
        <v>1580</v>
      </c>
      <c r="Q15" s="8" t="s">
        <v>787</v>
      </c>
      <c r="R15" s="8" t="s">
        <v>795</v>
      </c>
      <c r="S15" s="9" t="s">
        <v>815</v>
      </c>
      <c r="T15" s="8"/>
      <c r="U15" s="8"/>
      <c r="V15" s="8"/>
      <c r="W15" s="8"/>
      <c r="X15" s="11"/>
      <c r="Y15" s="8"/>
      <c r="Z15" s="8"/>
      <c r="AA15" s="9" t="s">
        <v>805</v>
      </c>
    </row>
    <row r="16" spans="1:27" ht="57.95" customHeight="1">
      <c r="A16" s="8" t="s">
        <v>816</v>
      </c>
      <c r="B16" s="8" t="s">
        <v>60</v>
      </c>
      <c r="C16" s="8" t="str">
        <f>IF(B16="","",IFERROR(INDEX(SakesV5[銘柄],MATCH(B16,SakesV5[酒款ID],0)),"酒款ID未找到"))</f>
        <v>釀人九平次</v>
      </c>
      <c r="D16" s="8" t="str">
        <f>IF(B16="","",IFERROR(INDEX(SakesV5[酒款],MATCH(B16,SakesV5[酒款ID],0)),"酒款ID未找到"))</f>
        <v>別設 不変と流転</v>
      </c>
      <c r="E16" s="8" t="s">
        <v>778</v>
      </c>
      <c r="F16" s="8" t="s">
        <v>779</v>
      </c>
      <c r="G16" s="8" t="s">
        <v>780</v>
      </c>
      <c r="H16" s="9" t="s">
        <v>781</v>
      </c>
      <c r="I16" s="9"/>
      <c r="J16" s="22"/>
      <c r="K16" s="22"/>
      <c r="L16" s="10">
        <v>60</v>
      </c>
      <c r="M16" s="18"/>
      <c r="N16" s="9" t="s">
        <v>781</v>
      </c>
      <c r="O16" s="11"/>
      <c r="P16" s="10">
        <v>18000</v>
      </c>
      <c r="Q16" s="8" t="s">
        <v>782</v>
      </c>
      <c r="R16" s="8" t="s">
        <v>800</v>
      </c>
      <c r="S16" s="64" t="s">
        <v>1218</v>
      </c>
      <c r="T16" s="8"/>
      <c r="U16" s="8"/>
      <c r="V16" s="8"/>
      <c r="W16" s="8"/>
      <c r="X16" s="11"/>
      <c r="Y16" s="8"/>
      <c r="Z16" s="8"/>
      <c r="AA16" s="9" t="s">
        <v>783</v>
      </c>
    </row>
    <row r="17" spans="1:27" ht="57.95" customHeight="1">
      <c r="A17" s="8" t="s">
        <v>817</v>
      </c>
      <c r="B17" s="8" t="s">
        <v>65</v>
      </c>
      <c r="C17" s="8" t="str">
        <f>IF(B17="","",IFERROR(INDEX(SakesV5[銘柄],MATCH(B17,SakesV5[酒款ID],0)),"酒款ID未找到"))</f>
        <v>三諸杉</v>
      </c>
      <c r="D17" s="8" t="str">
        <f>IF(B17="","",IFERROR(INDEX(SakesV5[酒款],MATCH(B17,SakesV5[酒款ID],0)),"酒款ID未找到"))</f>
        <v>木桶菩提酛 自社田山田錦</v>
      </c>
      <c r="E17" s="8" t="s">
        <v>778</v>
      </c>
      <c r="F17" s="8" t="s">
        <v>779</v>
      </c>
      <c r="G17" s="8" t="s">
        <v>780</v>
      </c>
      <c r="H17" s="9" t="s">
        <v>781</v>
      </c>
      <c r="I17" s="9"/>
      <c r="J17" s="22"/>
      <c r="K17" s="22"/>
      <c r="L17" s="10">
        <v>60</v>
      </c>
      <c r="M17" s="18"/>
      <c r="N17" s="9" t="s">
        <v>781</v>
      </c>
      <c r="O17" s="11"/>
      <c r="P17" s="10">
        <v>18000</v>
      </c>
      <c r="Q17" s="8" t="s">
        <v>782</v>
      </c>
      <c r="R17" s="8" t="s">
        <v>800</v>
      </c>
      <c r="S17" s="64" t="s">
        <v>1218</v>
      </c>
      <c r="T17" s="8"/>
      <c r="U17" s="8"/>
      <c r="V17" s="8"/>
      <c r="W17" s="8"/>
      <c r="X17" s="11"/>
      <c r="Y17" s="8"/>
      <c r="Z17" s="8"/>
      <c r="AA17" s="9" t="s">
        <v>783</v>
      </c>
    </row>
    <row r="18" spans="1:27" ht="57.95" customHeight="1">
      <c r="A18" s="8" t="s">
        <v>818</v>
      </c>
      <c r="B18" s="8" t="s">
        <v>70</v>
      </c>
      <c r="C18" s="8" t="str">
        <f>IF(B18="","",IFERROR(INDEX(SakesV5[銘柄],MATCH(B18,SakesV5[酒款ID],0)),"酒款ID未找到"))</f>
        <v>而今</v>
      </c>
      <c r="D18" s="8" t="str">
        <f>IF(B18="","",IFERROR(INDEX(SakesV5[酒款],MATCH(B18,SakesV5[酒款ID],0)),"酒款ID未找到"))</f>
        <v>雄町火入</v>
      </c>
      <c r="E18" s="8" t="s">
        <v>778</v>
      </c>
      <c r="F18" s="8" t="s">
        <v>779</v>
      </c>
      <c r="G18" s="8" t="s">
        <v>780</v>
      </c>
      <c r="H18" s="9" t="s">
        <v>781</v>
      </c>
      <c r="I18" s="9"/>
      <c r="J18" s="22"/>
      <c r="K18" s="22"/>
      <c r="L18" s="10">
        <v>60</v>
      </c>
      <c r="M18" s="18"/>
      <c r="N18" s="9" t="s">
        <v>781</v>
      </c>
      <c r="O18" s="11"/>
      <c r="P18" s="10">
        <v>18000</v>
      </c>
      <c r="Q18" s="8" t="s">
        <v>782</v>
      </c>
      <c r="R18" s="8" t="s">
        <v>800</v>
      </c>
      <c r="S18" s="64" t="s">
        <v>1218</v>
      </c>
      <c r="T18" s="8"/>
      <c r="U18" s="8"/>
      <c r="V18" s="8"/>
      <c r="W18" s="8"/>
      <c r="X18" s="11"/>
      <c r="Y18" s="8"/>
      <c r="Z18" s="8"/>
      <c r="AA18" s="9" t="s">
        <v>783</v>
      </c>
    </row>
    <row r="19" spans="1:27" ht="57.95" customHeight="1">
      <c r="A19" s="8" t="s">
        <v>819</v>
      </c>
      <c r="B19" s="8" t="s">
        <v>76</v>
      </c>
      <c r="C19" s="8" t="str">
        <f>IF(B19="","",IFERROR(INDEX(SakesV5[銘柄],MATCH(B19,SakesV5[酒款ID],0)),"酒款ID未找到"))</f>
        <v>彌榮鶴</v>
      </c>
      <c r="D19" s="8" t="str">
        <f>IF(B19="","",IFERROR(INDEX(SakesV5[酒款],MATCH(B19,SakesV5[酒款ID],0)),"酒款ID未找到"))</f>
        <v>陰翳in ei</v>
      </c>
      <c r="E19" s="8" t="s">
        <v>778</v>
      </c>
      <c r="F19" s="8" t="s">
        <v>779</v>
      </c>
      <c r="G19" s="8" t="s">
        <v>780</v>
      </c>
      <c r="H19" s="9" t="s">
        <v>781</v>
      </c>
      <c r="I19" s="9"/>
      <c r="J19" s="22"/>
      <c r="K19" s="22"/>
      <c r="L19" s="10">
        <v>60</v>
      </c>
      <c r="M19" s="18"/>
      <c r="N19" s="9" t="s">
        <v>781</v>
      </c>
      <c r="O19" s="11"/>
      <c r="P19" s="10">
        <v>18000</v>
      </c>
      <c r="Q19" s="8" t="s">
        <v>782</v>
      </c>
      <c r="R19" s="8" t="s">
        <v>800</v>
      </c>
      <c r="S19" s="64" t="s">
        <v>1218</v>
      </c>
      <c r="T19" s="8"/>
      <c r="U19" s="8"/>
      <c r="V19" s="8"/>
      <c r="W19" s="8"/>
      <c r="X19" s="11"/>
      <c r="Y19" s="8"/>
      <c r="Z19" s="8"/>
      <c r="AA19" s="9" t="s">
        <v>783</v>
      </c>
    </row>
    <row r="20" spans="1:27" ht="57.95" customHeight="1">
      <c r="A20" s="8" t="s">
        <v>820</v>
      </c>
      <c r="B20" s="8" t="s">
        <v>81</v>
      </c>
      <c r="C20" s="8" t="str">
        <f>IF(B20="","",IFERROR(INDEX(SakesV5[銘柄],MATCH(B20,SakesV5[酒款ID],0)),"酒款ID未找到"))</f>
        <v>綠川</v>
      </c>
      <c r="D20" s="8" t="str">
        <f>IF(B20="","",IFERROR(INDEX(SakesV5[酒款],MATCH(B20,SakesV5[酒款ID],0)),"酒款ID未找到"))</f>
        <v>Cask Collection</v>
      </c>
      <c r="E20" s="8" t="s">
        <v>778</v>
      </c>
      <c r="F20" s="8" t="s">
        <v>779</v>
      </c>
      <c r="G20" s="8" t="s">
        <v>780</v>
      </c>
      <c r="H20" s="9" t="s">
        <v>781</v>
      </c>
      <c r="I20" s="9"/>
      <c r="J20" s="22"/>
      <c r="K20" s="22"/>
      <c r="L20" s="10">
        <v>60</v>
      </c>
      <c r="M20" s="18"/>
      <c r="N20" s="9" t="s">
        <v>781</v>
      </c>
      <c r="O20" s="11"/>
      <c r="P20" s="10">
        <v>18000</v>
      </c>
      <c r="Q20" s="8" t="s">
        <v>782</v>
      </c>
      <c r="R20" s="8" t="s">
        <v>800</v>
      </c>
      <c r="S20" s="64" t="s">
        <v>1218</v>
      </c>
      <c r="T20" s="8"/>
      <c r="U20" s="8"/>
      <c r="V20" s="8"/>
      <c r="W20" s="8"/>
      <c r="X20" s="11"/>
      <c r="Y20" s="8"/>
      <c r="Z20" s="8"/>
      <c r="AA20" s="9" t="s">
        <v>783</v>
      </c>
    </row>
    <row r="21" spans="1:27" ht="57.95" customHeight="1">
      <c r="A21" s="8" t="s">
        <v>821</v>
      </c>
      <c r="B21" s="8" t="s">
        <v>86</v>
      </c>
      <c r="C21" s="8" t="str">
        <f>IF(B21="","",IFERROR(INDEX(SakesV5[銘柄],MATCH(B21,SakesV5[酒款ID],0)),"酒款ID未找到"))</f>
        <v>電照菊</v>
      </c>
      <c r="D21" s="8" t="str">
        <f>IF(B21="","",IFERROR(INDEX(SakesV5[酒款],MATCH(B21,SakesV5[酒款ID],0)),"酒款ID未找到"))</f>
        <v>山田錦50 純米大吟釀 無濾過生原酒</v>
      </c>
      <c r="E21" s="8" t="s">
        <v>778</v>
      </c>
      <c r="F21" s="8" t="s">
        <v>779</v>
      </c>
      <c r="G21" s="8" t="s">
        <v>780</v>
      </c>
      <c r="H21" s="9" t="s">
        <v>781</v>
      </c>
      <c r="I21" s="9"/>
      <c r="J21" s="22"/>
      <c r="K21" s="22"/>
      <c r="L21" s="10">
        <v>60</v>
      </c>
      <c r="M21" s="18"/>
      <c r="N21" s="9" t="s">
        <v>781</v>
      </c>
      <c r="O21" s="11"/>
      <c r="P21" s="10">
        <v>18000</v>
      </c>
      <c r="Q21" s="8" t="s">
        <v>782</v>
      </c>
      <c r="R21" s="8" t="s">
        <v>800</v>
      </c>
      <c r="S21" s="64" t="s">
        <v>1218</v>
      </c>
      <c r="T21" s="8"/>
      <c r="U21" s="8"/>
      <c r="V21" s="8"/>
      <c r="W21" s="8"/>
      <c r="X21" s="11"/>
      <c r="Y21" s="8"/>
      <c r="Z21" s="8"/>
      <c r="AA21" s="9" t="s">
        <v>783</v>
      </c>
    </row>
    <row r="22" spans="1:27" ht="57.95" customHeight="1">
      <c r="A22" s="8" t="s">
        <v>822</v>
      </c>
      <c r="B22" s="8" t="s">
        <v>91</v>
      </c>
      <c r="C22" s="8" t="str">
        <f>IF(B22="","",IFERROR(INDEX(SakesV5[銘柄],MATCH(B22,SakesV5[酒款ID],0)),"酒款ID未找到"))</f>
        <v>AKABU</v>
      </c>
      <c r="D22" s="8" t="str">
        <f>IF(B22="","",IFERROR(INDEX(SakesV5[酒款],MATCH(B22,SakesV5[酒款ID],0)),"酒款ID未找到"))</f>
        <v>AKABU×UNITED ARROWS 別注純米大吟醸 2025</v>
      </c>
      <c r="E22" s="8" t="s">
        <v>778</v>
      </c>
      <c r="F22" s="8" t="s">
        <v>779</v>
      </c>
      <c r="G22" s="8" t="s">
        <v>780</v>
      </c>
      <c r="H22" s="9" t="s">
        <v>781</v>
      </c>
      <c r="I22" s="9"/>
      <c r="J22" s="22"/>
      <c r="K22" s="22"/>
      <c r="L22" s="10">
        <v>60</v>
      </c>
      <c r="M22" s="18"/>
      <c r="N22" s="9" t="s">
        <v>781</v>
      </c>
      <c r="O22" s="11"/>
      <c r="P22" s="10">
        <v>18000</v>
      </c>
      <c r="Q22" s="8" t="s">
        <v>782</v>
      </c>
      <c r="R22" s="8" t="s">
        <v>800</v>
      </c>
      <c r="S22" s="64" t="s">
        <v>1218</v>
      </c>
      <c r="T22" s="8"/>
      <c r="U22" s="8"/>
      <c r="V22" s="8"/>
      <c r="W22" s="8"/>
      <c r="X22" s="11"/>
      <c r="Y22" s="8"/>
      <c r="Z22" s="8" t="s">
        <v>823</v>
      </c>
      <c r="AA22" s="9"/>
    </row>
    <row r="23" spans="1:27" ht="57.95" customHeight="1">
      <c r="A23" s="8" t="s">
        <v>824</v>
      </c>
      <c r="B23" s="8" t="s">
        <v>103</v>
      </c>
      <c r="C23" s="8" t="str">
        <f>IF(B23="","",IFERROR(INDEX(SakesV5[銘柄],MATCH(B23,SakesV5[酒款ID],0)),"酒款ID未找到"))</f>
        <v>AKABU</v>
      </c>
      <c r="D23" s="8" t="str">
        <f>IF(B23="","",IFERROR(INDEX(SakesV5[酒款],MATCH(B23,SakesV5[酒款ID],0)),"酒款ID未找到"))</f>
        <v>純米吟釀</v>
      </c>
      <c r="E23" s="8" t="s">
        <v>785</v>
      </c>
      <c r="F23" s="8" t="s">
        <v>793</v>
      </c>
      <c r="G23" s="8" t="s">
        <v>794</v>
      </c>
      <c r="H23" s="14" t="s">
        <v>808</v>
      </c>
      <c r="I23" s="9"/>
      <c r="J23" s="22">
        <v>3.4</v>
      </c>
      <c r="K23" s="22">
        <v>3.5</v>
      </c>
      <c r="L23" s="10"/>
      <c r="M23" s="18">
        <v>720</v>
      </c>
      <c r="N23" s="8" t="s">
        <v>809</v>
      </c>
      <c r="O23" s="11"/>
      <c r="P23" s="10"/>
      <c r="Q23" s="8" t="s">
        <v>787</v>
      </c>
      <c r="R23" s="8" t="s">
        <v>795</v>
      </c>
      <c r="S23" s="9"/>
      <c r="T23" s="8"/>
      <c r="U23" s="8"/>
      <c r="V23" s="8"/>
      <c r="W23" s="8"/>
      <c r="X23" s="11"/>
      <c r="Y23" s="8"/>
      <c r="Z23" s="8" t="s">
        <v>823</v>
      </c>
      <c r="AA23" s="9"/>
    </row>
    <row r="24" spans="1:27" ht="57.95" customHeight="1">
      <c r="A24" s="8" t="s">
        <v>825</v>
      </c>
      <c r="B24" s="8" t="s">
        <v>125</v>
      </c>
      <c r="C24" s="8" t="str">
        <f>IF(B24="","",IFERROR(INDEX(SakesV5[銘柄],MATCH(B24,SakesV5[酒款ID],0)),"酒款ID未找到"))</f>
        <v>產土</v>
      </c>
      <c r="D24" s="8" t="str">
        <f>IF(B24="","",IFERROR(INDEX(SakesV5[酒款],MATCH(B24,SakesV5[酒款ID],0)),"酒款ID未找到"))</f>
        <v>神宴 改良信交 一農</v>
      </c>
      <c r="E24" s="8" t="s">
        <v>826</v>
      </c>
      <c r="F24" s="8" t="s">
        <v>793</v>
      </c>
      <c r="G24" s="8" t="s">
        <v>794</v>
      </c>
      <c r="H24" s="12" t="s">
        <v>808</v>
      </c>
      <c r="I24" s="67" t="s">
        <v>1225</v>
      </c>
      <c r="J24" s="22">
        <v>3.5</v>
      </c>
      <c r="K24" s="22">
        <v>3.5</v>
      </c>
      <c r="L24" s="10"/>
      <c r="M24" s="18">
        <v>720</v>
      </c>
      <c r="N24" s="8" t="s">
        <v>1215</v>
      </c>
      <c r="O24" s="11"/>
      <c r="P24" s="10">
        <v>7900</v>
      </c>
      <c r="Q24" s="8" t="s">
        <v>787</v>
      </c>
      <c r="R24" s="8" t="s">
        <v>795</v>
      </c>
      <c r="S24" s="9" t="s">
        <v>827</v>
      </c>
      <c r="T24" s="65" t="s">
        <v>1220</v>
      </c>
      <c r="U24" s="67" t="s">
        <v>1221</v>
      </c>
      <c r="V24" s="8"/>
      <c r="W24" s="8"/>
      <c r="X24" s="11"/>
      <c r="Y24" s="8"/>
      <c r="Z24" s="8" t="s">
        <v>823</v>
      </c>
      <c r="AA24" s="9" t="s">
        <v>828</v>
      </c>
    </row>
    <row r="25" spans="1:27" ht="57.95" customHeight="1">
      <c r="A25" s="8" t="s">
        <v>829</v>
      </c>
      <c r="B25" s="8" t="s">
        <v>131</v>
      </c>
      <c r="C25" s="8" t="str">
        <f>IF(B25="","",IFERROR(INDEX(SakesV5[銘柄],MATCH(B25,SakesV5[酒款ID],0)),"酒款ID未找到"))</f>
        <v>產土</v>
      </c>
      <c r="D25" s="8" t="str">
        <f>IF(B25="","",IFERROR(INDEX(SakesV5[酒款],MATCH(B25,SakesV5[酒款ID],0)),"酒款ID未找到"))</f>
        <v>神宴 改良信交 二農</v>
      </c>
      <c r="E25" s="8" t="s">
        <v>830</v>
      </c>
      <c r="F25" s="8" t="s">
        <v>793</v>
      </c>
      <c r="G25" s="8" t="s">
        <v>794</v>
      </c>
      <c r="H25" s="9" t="s">
        <v>1215</v>
      </c>
      <c r="I25" s="67" t="s">
        <v>1224</v>
      </c>
      <c r="J25" s="22">
        <v>3.5</v>
      </c>
      <c r="K25" s="22">
        <v>3.5</v>
      </c>
      <c r="L25" s="10"/>
      <c r="M25" s="18">
        <v>720</v>
      </c>
      <c r="N25" s="8" t="s">
        <v>1215</v>
      </c>
      <c r="O25" s="11"/>
      <c r="P25" s="10">
        <v>8900</v>
      </c>
      <c r="Q25" s="8" t="s">
        <v>787</v>
      </c>
      <c r="R25" s="8" t="s">
        <v>795</v>
      </c>
      <c r="S25" s="9" t="s">
        <v>831</v>
      </c>
      <c r="T25" s="65" t="s">
        <v>1223</v>
      </c>
      <c r="U25" s="67" t="s">
        <v>1222</v>
      </c>
      <c r="V25" s="8"/>
      <c r="W25" s="8"/>
      <c r="X25" s="11"/>
      <c r="Y25" s="8"/>
      <c r="Z25" s="8" t="s">
        <v>823</v>
      </c>
      <c r="AA25" s="9" t="s">
        <v>828</v>
      </c>
    </row>
    <row r="26" spans="1:27" ht="57.95" customHeight="1">
      <c r="A26" s="8" t="s">
        <v>832</v>
      </c>
      <c r="B26" s="8" t="s">
        <v>133</v>
      </c>
      <c r="C26" s="8" t="str">
        <f>IF(B26="","",IFERROR(INDEX(SakesV5[銘柄],MATCH(B26,SakesV5[酒款ID],0)),"酒款ID未找到"))</f>
        <v>產土</v>
      </c>
      <c r="D26" s="8" t="str">
        <f>IF(B26="","",IFERROR(INDEX(SakesV5[酒款],MATCH(B26,SakesV5[酒款ID],0)),"酒款ID未找到"))</f>
        <v>山田錦 二農釀生酒</v>
      </c>
      <c r="E26" s="8" t="s">
        <v>826</v>
      </c>
      <c r="F26" s="8" t="s">
        <v>793</v>
      </c>
      <c r="G26" s="8" t="s">
        <v>794</v>
      </c>
      <c r="H26" s="12" t="s">
        <v>808</v>
      </c>
      <c r="I26" s="52" t="s">
        <v>1241</v>
      </c>
      <c r="J26" s="22">
        <v>3.5</v>
      </c>
      <c r="K26" s="22">
        <v>3.7</v>
      </c>
      <c r="L26" s="10"/>
      <c r="M26" s="18">
        <v>720</v>
      </c>
      <c r="N26" s="8" t="s">
        <v>1215</v>
      </c>
      <c r="O26" s="11"/>
      <c r="P26" s="10">
        <v>2800</v>
      </c>
      <c r="Q26" s="8" t="s">
        <v>787</v>
      </c>
      <c r="R26" s="8" t="s">
        <v>795</v>
      </c>
      <c r="S26" s="9" t="s">
        <v>833</v>
      </c>
      <c r="T26" s="53" t="s">
        <v>1240</v>
      </c>
      <c r="U26" s="39" t="s">
        <v>1248</v>
      </c>
      <c r="V26" s="8"/>
      <c r="W26" s="8"/>
      <c r="X26" s="11"/>
      <c r="Y26" s="8"/>
      <c r="Z26" s="8" t="s">
        <v>823</v>
      </c>
      <c r="AA26" s="9" t="s">
        <v>805</v>
      </c>
    </row>
    <row r="27" spans="1:27" ht="57.95" customHeight="1">
      <c r="A27" s="8" t="s">
        <v>834</v>
      </c>
      <c r="B27" s="8" t="s">
        <v>135</v>
      </c>
      <c r="C27" s="8" t="str">
        <f>IF(B27="","",IFERROR(INDEX(SakesV5[銘柄],MATCH(B27,SakesV5[酒款ID],0)),"酒款ID未找到"))</f>
        <v>產土</v>
      </c>
      <c r="D27" s="8" t="str">
        <f>IF(B27="","",IFERROR(INDEX(SakesV5[酒款],MATCH(B27,SakesV5[酒款ID],0)),"酒款ID未找到"))</f>
        <v>穗增 四農釀生酒</v>
      </c>
      <c r="E27" s="8" t="s">
        <v>785</v>
      </c>
      <c r="F27" s="8" t="s">
        <v>793</v>
      </c>
      <c r="G27" s="8" t="s">
        <v>794</v>
      </c>
      <c r="H27" s="9" t="s">
        <v>1215</v>
      </c>
      <c r="I27" s="43" t="s">
        <v>1242</v>
      </c>
      <c r="J27" s="22">
        <v>3.8</v>
      </c>
      <c r="K27" s="22">
        <v>4</v>
      </c>
      <c r="L27" s="10"/>
      <c r="M27" s="18">
        <v>720</v>
      </c>
      <c r="N27" s="8" t="s">
        <v>1215</v>
      </c>
      <c r="O27" s="11"/>
      <c r="P27" s="10">
        <v>5000</v>
      </c>
      <c r="Q27" s="8" t="s">
        <v>787</v>
      </c>
      <c r="R27" s="8" t="s">
        <v>795</v>
      </c>
      <c r="S27" s="9" t="s">
        <v>835</v>
      </c>
      <c r="T27" s="53" t="s">
        <v>1237</v>
      </c>
      <c r="U27" s="49" t="s">
        <v>1227</v>
      </c>
      <c r="V27" s="8"/>
      <c r="W27" s="8"/>
      <c r="X27" s="11"/>
      <c r="Y27" s="8"/>
      <c r="Z27" s="8" t="s">
        <v>823</v>
      </c>
      <c r="AA27" s="15" t="s">
        <v>836</v>
      </c>
    </row>
    <row r="28" spans="1:27" ht="57.95" customHeight="1">
      <c r="A28" s="8" t="s">
        <v>837</v>
      </c>
      <c r="B28" s="8" t="s">
        <v>138</v>
      </c>
      <c r="C28" s="8" t="str">
        <f>IF(B28="","",IFERROR(INDEX(SakesV5[銘柄],MATCH(B28,SakesV5[酒款ID],0)),"酒款ID未找到"))</f>
        <v>產土</v>
      </c>
      <c r="D28" s="8" t="str">
        <f>IF(B28="","",IFERROR(INDEX(SakesV5[酒款],MATCH(B28,SakesV5[酒款ID],0)),"酒款ID未找到"))</f>
        <v>穗增 四農 別誂 酛稻架掛</v>
      </c>
      <c r="E28" s="8" t="s">
        <v>798</v>
      </c>
      <c r="F28" s="8" t="s">
        <v>793</v>
      </c>
      <c r="G28" s="8" t="s">
        <v>794</v>
      </c>
      <c r="H28" s="9" t="s">
        <v>1215</v>
      </c>
      <c r="I28" s="67" t="s">
        <v>1243</v>
      </c>
      <c r="J28" s="22">
        <v>4</v>
      </c>
      <c r="K28" s="22">
        <v>4.5</v>
      </c>
      <c r="L28" s="10"/>
      <c r="M28" s="18">
        <v>720</v>
      </c>
      <c r="N28" s="8" t="s">
        <v>1215</v>
      </c>
      <c r="O28" s="11"/>
      <c r="P28" s="10">
        <v>6000</v>
      </c>
      <c r="Q28" s="8" t="s">
        <v>787</v>
      </c>
      <c r="R28" s="8" t="s">
        <v>795</v>
      </c>
      <c r="S28" s="9" t="s">
        <v>838</v>
      </c>
      <c r="T28" s="53" t="s">
        <v>1237</v>
      </c>
      <c r="U28" s="39" t="s">
        <v>1232</v>
      </c>
      <c r="V28" s="8"/>
      <c r="W28" s="8"/>
      <c r="X28" s="11"/>
      <c r="Y28" s="8"/>
      <c r="Z28" s="8" t="s">
        <v>823</v>
      </c>
      <c r="AA28" s="15" t="s">
        <v>836</v>
      </c>
    </row>
    <row r="29" spans="1:27" ht="57.95" customHeight="1">
      <c r="A29" s="8" t="s">
        <v>839</v>
      </c>
      <c r="B29" s="8" t="s">
        <v>140</v>
      </c>
      <c r="C29" s="8" t="str">
        <f>IF(B29="","",IFERROR(INDEX(SakesV5[銘柄],MATCH(B29,SakesV5[酒款ID],0)),"酒款ID未找到"))</f>
        <v>產土</v>
      </c>
      <c r="D29" s="8" t="str">
        <f>IF(B29="","",IFERROR(INDEX(SakesV5[酒款],MATCH(B29,SakesV5[酒款ID],0)),"酒款ID未找到"))</f>
        <v>香子 四農釀生酒</v>
      </c>
      <c r="E29" s="8" t="s">
        <v>826</v>
      </c>
      <c r="F29" s="8" t="s">
        <v>793</v>
      </c>
      <c r="G29" s="8" t="s">
        <v>794</v>
      </c>
      <c r="H29" s="12" t="s">
        <v>808</v>
      </c>
      <c r="I29" s="42" t="s">
        <v>1247</v>
      </c>
      <c r="J29" s="22">
        <v>3.8</v>
      </c>
      <c r="K29" s="22">
        <v>4.2</v>
      </c>
      <c r="L29" s="10"/>
      <c r="M29" s="18">
        <v>720</v>
      </c>
      <c r="N29" s="8" t="s">
        <v>1215</v>
      </c>
      <c r="O29" s="11"/>
      <c r="P29" s="10">
        <v>4380</v>
      </c>
      <c r="Q29" s="8" t="s">
        <v>787</v>
      </c>
      <c r="R29" s="8" t="s">
        <v>795</v>
      </c>
      <c r="S29" s="9" t="s">
        <v>840</v>
      </c>
      <c r="T29" s="43" t="s">
        <v>1229</v>
      </c>
      <c r="U29" s="39" t="s">
        <v>1233</v>
      </c>
      <c r="V29" s="8"/>
      <c r="W29" s="8"/>
      <c r="X29" s="11"/>
      <c r="Y29" s="8"/>
      <c r="Z29" s="8" t="s">
        <v>823</v>
      </c>
      <c r="AA29" s="15" t="s">
        <v>836</v>
      </c>
    </row>
    <row r="30" spans="1:27" ht="57.95" customHeight="1">
      <c r="A30" s="8" t="s">
        <v>841</v>
      </c>
      <c r="B30" s="8" t="s">
        <v>143</v>
      </c>
      <c r="C30" s="8" t="str">
        <f>IF(B30="","",IFERROR(INDEX(SakesV5[銘柄],MATCH(B30,SakesV5[酒款ID],0)),"酒款ID未找到"))</f>
        <v>產土</v>
      </c>
      <c r="D30" s="8" t="str">
        <f>IF(B30="","",IFERROR(INDEX(SakesV5[酒款],MATCH(B30,SakesV5[酒款ID],0)),"酒款ID未找到"))</f>
        <v>穗增 五農釀生酒</v>
      </c>
      <c r="E30" s="8" t="s">
        <v>798</v>
      </c>
      <c r="F30" s="8" t="s">
        <v>793</v>
      </c>
      <c r="G30" s="8" t="s">
        <v>794</v>
      </c>
      <c r="H30" s="9" t="s">
        <v>1215</v>
      </c>
      <c r="I30" s="52" t="s">
        <v>1245</v>
      </c>
      <c r="J30" s="22">
        <v>3.8</v>
      </c>
      <c r="K30" s="22">
        <v>4</v>
      </c>
      <c r="L30" s="10"/>
      <c r="M30" s="18">
        <v>720</v>
      </c>
      <c r="N30" s="8" t="s">
        <v>1215</v>
      </c>
      <c r="O30" s="11"/>
      <c r="P30" s="10">
        <v>5500</v>
      </c>
      <c r="Q30" s="8" t="s">
        <v>787</v>
      </c>
      <c r="R30" s="8" t="s">
        <v>795</v>
      </c>
      <c r="S30" s="9" t="s">
        <v>842</v>
      </c>
      <c r="T30" s="53" t="s">
        <v>1238</v>
      </c>
      <c r="U30" s="39" t="s">
        <v>1234</v>
      </c>
      <c r="V30" s="8"/>
      <c r="W30" s="8"/>
      <c r="X30" s="11"/>
      <c r="Y30" s="8"/>
      <c r="Z30" s="8" t="s">
        <v>823</v>
      </c>
      <c r="AA30" s="15" t="s">
        <v>836</v>
      </c>
    </row>
    <row r="31" spans="1:27" ht="57.95" customHeight="1">
      <c r="A31" s="8" t="s">
        <v>843</v>
      </c>
      <c r="B31" s="8" t="s">
        <v>145</v>
      </c>
      <c r="C31" s="8" t="str">
        <f>IF(B31="","",IFERROR(INDEX(SakesV5[銘柄],MATCH(B31,SakesV5[酒款ID],0)),"酒款ID未找到"))</f>
        <v>產土</v>
      </c>
      <c r="D31" s="8" t="str">
        <f>IF(B31="","",IFERROR(INDEX(SakesV5[酒款],MATCH(B31,SakesV5[酒款ID],0)),"酒款ID未找到"))</f>
        <v>穗增 六農釀生酒</v>
      </c>
      <c r="E31" s="8" t="s">
        <v>830</v>
      </c>
      <c r="F31" s="8" t="s">
        <v>793</v>
      </c>
      <c r="G31" s="8" t="s">
        <v>794</v>
      </c>
      <c r="H31" s="12" t="s">
        <v>808</v>
      </c>
      <c r="I31" s="52" t="s">
        <v>1244</v>
      </c>
      <c r="J31" s="22">
        <v>3.9</v>
      </c>
      <c r="K31" s="22">
        <v>4</v>
      </c>
      <c r="L31" s="10"/>
      <c r="M31" s="18">
        <v>720</v>
      </c>
      <c r="N31" s="8" t="s">
        <v>1215</v>
      </c>
      <c r="O31" s="11"/>
      <c r="P31" s="10">
        <v>5800</v>
      </c>
      <c r="Q31" s="8" t="s">
        <v>787</v>
      </c>
      <c r="R31" s="8" t="s">
        <v>795</v>
      </c>
      <c r="S31" s="9" t="s">
        <v>844</v>
      </c>
      <c r="T31" s="53" t="s">
        <v>1239</v>
      </c>
      <c r="U31" s="39" t="s">
        <v>1236</v>
      </c>
      <c r="V31" s="8"/>
      <c r="W31" s="8"/>
      <c r="X31" s="11"/>
      <c r="Y31" s="8"/>
      <c r="Z31" s="8" t="s">
        <v>823</v>
      </c>
      <c r="AA31" s="15" t="s">
        <v>836</v>
      </c>
    </row>
    <row r="32" spans="1:27" ht="57.95" customHeight="1">
      <c r="A32" s="8" t="s">
        <v>845</v>
      </c>
      <c r="B32" s="8" t="s">
        <v>147</v>
      </c>
      <c r="C32" s="8" t="str">
        <f>IF(B32="","",IFERROR(INDEX(SakesV5[銘柄],MATCH(B32,SakesV5[酒款ID],0)),"酒款ID未找到"))</f>
        <v>產土</v>
      </c>
      <c r="D32" s="8" t="str">
        <f>IF(B32="","",IFERROR(INDEX(SakesV5[酒款],MATCH(B32,SakesV5[酒款ID],0)),"酒款ID未找到"))</f>
        <v>香子 六農釀生酒</v>
      </c>
      <c r="E32" s="8" t="s">
        <v>792</v>
      </c>
      <c r="F32" s="8" t="s">
        <v>793</v>
      </c>
      <c r="G32" s="8" t="s">
        <v>794</v>
      </c>
      <c r="H32" s="12" t="s">
        <v>808</v>
      </c>
      <c r="I32" s="54" t="s">
        <v>1246</v>
      </c>
      <c r="J32" s="22">
        <v>4.4000000000000004</v>
      </c>
      <c r="K32" s="22">
        <v>4.5</v>
      </c>
      <c r="L32" s="10"/>
      <c r="M32" s="18">
        <v>720</v>
      </c>
      <c r="N32" s="8" t="s">
        <v>846</v>
      </c>
      <c r="O32" s="11"/>
      <c r="P32" s="10">
        <v>3788</v>
      </c>
      <c r="Q32" s="8" t="s">
        <v>787</v>
      </c>
      <c r="R32" s="8" t="s">
        <v>795</v>
      </c>
      <c r="S32" s="9" t="s">
        <v>847</v>
      </c>
      <c r="T32" s="66" t="s">
        <v>1228</v>
      </c>
      <c r="U32" s="39" t="s">
        <v>1235</v>
      </c>
      <c r="V32" s="8"/>
      <c r="W32" s="8"/>
      <c r="X32" s="11"/>
      <c r="Y32" s="8"/>
      <c r="Z32" s="8" t="s">
        <v>823</v>
      </c>
      <c r="AA32" s="15" t="s">
        <v>836</v>
      </c>
    </row>
    <row r="33" spans="1:27" ht="57.95" customHeight="1">
      <c r="A33" s="8" t="s">
        <v>848</v>
      </c>
      <c r="B33" s="8" t="s">
        <v>149</v>
      </c>
      <c r="C33" s="8" t="str">
        <f>IF(B33="","",IFERROR(INDEX(SakesV5[銘柄],MATCH(B33,SakesV5[酒款ID],0)),"酒款ID未找到"))</f>
        <v>產土</v>
      </c>
      <c r="D33" s="8" t="str">
        <f>IF(B33="","",IFERROR(INDEX(SakesV5[酒款],MATCH(B33,SakesV5[酒款ID],0)),"酒款ID未找到"))</f>
        <v>香子 七農釀生酒</v>
      </c>
      <c r="E33" s="8" t="s">
        <v>792</v>
      </c>
      <c r="F33" s="8" t="s">
        <v>793</v>
      </c>
      <c r="G33" s="8" t="s">
        <v>794</v>
      </c>
      <c r="H33" s="12" t="s">
        <v>808</v>
      </c>
      <c r="I33" s="42" t="s">
        <v>1231</v>
      </c>
      <c r="J33" s="22">
        <v>3.9</v>
      </c>
      <c r="K33" s="22">
        <v>4</v>
      </c>
      <c r="L33" s="10"/>
      <c r="M33" s="18">
        <v>720</v>
      </c>
      <c r="N33" s="8" t="s">
        <v>849</v>
      </c>
      <c r="O33" s="11"/>
      <c r="P33" s="10">
        <v>4880</v>
      </c>
      <c r="Q33" s="8" t="s">
        <v>787</v>
      </c>
      <c r="R33" s="8" t="s">
        <v>795</v>
      </c>
      <c r="S33" s="9" t="s">
        <v>850</v>
      </c>
      <c r="T33" s="42" t="s">
        <v>1230</v>
      </c>
      <c r="U33" s="39" t="s">
        <v>1226</v>
      </c>
      <c r="V33" s="8"/>
      <c r="W33" s="8"/>
      <c r="X33" s="11"/>
      <c r="Y33" s="8"/>
      <c r="Z33" s="8" t="s">
        <v>823</v>
      </c>
      <c r="AA33" s="15" t="s">
        <v>836</v>
      </c>
    </row>
    <row r="34" spans="1:27" ht="57.95" customHeight="1">
      <c r="A34" s="8" t="s">
        <v>851</v>
      </c>
      <c r="B34" s="8" t="s">
        <v>151</v>
      </c>
      <c r="C34" s="8" t="str">
        <f>IF(B34="","",IFERROR(INDEX(SakesV5[銘柄],MATCH(B34,SakesV5[酒款ID],0)),"酒款ID未找到"))</f>
        <v>鍋島</v>
      </c>
      <c r="D34" s="8" t="str">
        <f>IF(B34="","",IFERROR(INDEX(SakesV5[酒款],MATCH(B34,SakesV5[酒款ID],0)),"酒款ID未找到"))</f>
        <v>Classic 純米大吟醸 赤磐雄町米</v>
      </c>
      <c r="E34" s="8" t="s">
        <v>778</v>
      </c>
      <c r="F34" s="8" t="s">
        <v>779</v>
      </c>
      <c r="G34" s="8" t="s">
        <v>780</v>
      </c>
      <c r="H34" s="9" t="s">
        <v>781</v>
      </c>
      <c r="I34" s="9"/>
      <c r="J34" s="22"/>
      <c r="K34" s="22"/>
      <c r="L34" s="10">
        <v>60</v>
      </c>
      <c r="M34" s="18"/>
      <c r="N34" s="9" t="s">
        <v>781</v>
      </c>
      <c r="O34" s="11"/>
      <c r="P34" s="10"/>
      <c r="Q34" s="8"/>
      <c r="R34" s="8"/>
      <c r="S34" s="64" t="s">
        <v>1218</v>
      </c>
      <c r="T34" s="8"/>
      <c r="U34" s="8"/>
      <c r="V34" s="8"/>
      <c r="W34" s="8"/>
      <c r="X34" s="11"/>
      <c r="Y34" s="8"/>
      <c r="Z34" s="8"/>
      <c r="AA34" s="9" t="s">
        <v>783</v>
      </c>
    </row>
    <row r="35" spans="1:27" ht="57.95" customHeight="1">
      <c r="A35" s="8" t="s">
        <v>852</v>
      </c>
      <c r="B35" s="8" t="s">
        <v>156</v>
      </c>
      <c r="C35" s="8" t="str">
        <f>IF(B35="","",IFERROR(INDEX(SakesV5[銘柄],MATCH(B35,SakesV5[酒款ID],0)),"酒款ID未找到"))</f>
        <v>日日</v>
      </c>
      <c r="D35" s="8" t="str">
        <f>IF(B35="","",IFERROR(INDEX(SakesV5[酒款],MATCH(B35,SakesV5[酒款ID],0)),"酒款ID未找到"))</f>
        <v>玉榮</v>
      </c>
      <c r="E35" s="8" t="s">
        <v>778</v>
      </c>
      <c r="F35" s="8" t="s">
        <v>779</v>
      </c>
      <c r="G35" s="8" t="s">
        <v>780</v>
      </c>
      <c r="H35" s="9" t="s">
        <v>781</v>
      </c>
      <c r="I35" s="9"/>
      <c r="J35" s="22"/>
      <c r="K35" s="22"/>
      <c r="L35" s="10">
        <v>60</v>
      </c>
      <c r="M35" s="18"/>
      <c r="N35" s="9" t="s">
        <v>781</v>
      </c>
      <c r="O35" s="11"/>
      <c r="P35" s="10"/>
      <c r="Q35" s="8"/>
      <c r="R35" s="8"/>
      <c r="S35" s="64" t="s">
        <v>1218</v>
      </c>
      <c r="T35" s="8"/>
      <c r="U35" s="8"/>
      <c r="V35" s="8"/>
      <c r="W35" s="8"/>
      <c r="X35" s="11"/>
      <c r="Y35" s="8"/>
      <c r="Z35" s="8"/>
      <c r="AA35" s="9"/>
    </row>
    <row r="36" spans="1:27" ht="57.95" customHeight="1">
      <c r="A36" s="8" t="s">
        <v>853</v>
      </c>
      <c r="B36" s="8" t="s">
        <v>158</v>
      </c>
      <c r="C36" s="8" t="str">
        <f>IF(B36="","",IFERROR(INDEX(SakesV5[銘柄],MATCH(B36,SakesV5[酒款ID],0)),"酒款ID未找到"))</f>
        <v>而今</v>
      </c>
      <c r="D36" s="8" t="str">
        <f>IF(B36="","",IFERROR(INDEX(SakesV5[酒款],MATCH(B36,SakesV5[酒款ID],0)),"酒款ID未找到"))</f>
        <v>白鶴錦</v>
      </c>
      <c r="E36" s="8" t="s">
        <v>778</v>
      </c>
      <c r="F36" s="8" t="s">
        <v>779</v>
      </c>
      <c r="G36" s="8" t="s">
        <v>780</v>
      </c>
      <c r="H36" s="9" t="s">
        <v>854</v>
      </c>
      <c r="I36" s="9"/>
      <c r="J36" s="22"/>
      <c r="K36" s="22"/>
      <c r="L36" s="10">
        <v>60</v>
      </c>
      <c r="M36" s="18"/>
      <c r="N36" s="9" t="s">
        <v>781</v>
      </c>
      <c r="O36" s="11"/>
      <c r="P36" s="10"/>
      <c r="Q36" s="8"/>
      <c r="R36" s="8"/>
      <c r="S36" s="15" t="s">
        <v>1219</v>
      </c>
      <c r="T36" s="8"/>
      <c r="U36" s="8"/>
      <c r="V36" s="8"/>
      <c r="W36" s="8"/>
      <c r="X36" s="11"/>
      <c r="Y36" s="8"/>
      <c r="Z36" s="8"/>
      <c r="AA36" s="9"/>
    </row>
    <row r="37" spans="1:27" ht="57.95" customHeight="1">
      <c r="A37" s="8" t="s">
        <v>855</v>
      </c>
      <c r="B37" s="8" t="s">
        <v>160</v>
      </c>
      <c r="C37" s="8" t="str">
        <f>IF(B37="","",IFERROR(INDEX(SakesV5[銘柄],MATCH(B37,SakesV5[酒款ID],0)),"酒款ID未找到"))</f>
        <v>神渡</v>
      </c>
      <c r="D37" s="8" t="str">
        <f>IF(B37="","",IFERROR(INDEX(SakesV5[酒款],MATCH(B37,SakesV5[酒款ID],0)),"酒款ID未找到"))</f>
        <v>純米新酒 無慮過生原酒</v>
      </c>
      <c r="E37" s="8" t="s">
        <v>778</v>
      </c>
      <c r="F37" s="8" t="s">
        <v>779</v>
      </c>
      <c r="G37" s="8" t="s">
        <v>780</v>
      </c>
      <c r="H37" s="9" t="s">
        <v>854</v>
      </c>
      <c r="I37" s="9"/>
      <c r="J37" s="22"/>
      <c r="K37" s="22"/>
      <c r="L37" s="10">
        <v>60</v>
      </c>
      <c r="M37" s="18"/>
      <c r="N37" s="26" t="s">
        <v>856</v>
      </c>
      <c r="O37" s="11"/>
      <c r="P37" s="10"/>
      <c r="Q37" s="8"/>
      <c r="R37" s="8"/>
      <c r="S37" s="15" t="s">
        <v>1200</v>
      </c>
      <c r="T37" s="8"/>
      <c r="U37" s="8"/>
      <c r="V37" s="8"/>
      <c r="W37" s="8"/>
      <c r="X37" s="11"/>
      <c r="Y37" s="8"/>
      <c r="Z37" s="8"/>
      <c r="AA37" s="9"/>
    </row>
    <row r="38" spans="1:27" ht="57.95" customHeight="1">
      <c r="A38" s="8" t="s">
        <v>857</v>
      </c>
      <c r="B38" s="8" t="s">
        <v>166</v>
      </c>
      <c r="C38" s="8" t="str">
        <f>IF(B38="","",IFERROR(INDEX(SakesV5[銘柄],MATCH(B38,SakesV5[酒款ID],0)),"酒款ID未找到"))</f>
        <v>楯野川</v>
      </c>
      <c r="D38" s="8" t="str">
        <f>IF(B38="","",IFERROR(INDEX(SakesV5[酒款],MATCH(B38,SakesV5[酒款ID],0)),"酒款ID未找到"))</f>
        <v>本流辛口</v>
      </c>
      <c r="E38" s="8" t="s">
        <v>778</v>
      </c>
      <c r="F38" s="8" t="s">
        <v>779</v>
      </c>
      <c r="G38" s="8" t="s">
        <v>780</v>
      </c>
      <c r="H38" s="9" t="s">
        <v>854</v>
      </c>
      <c r="I38" s="9"/>
      <c r="J38" s="22"/>
      <c r="K38" s="22"/>
      <c r="L38" s="10">
        <v>60</v>
      </c>
      <c r="M38" s="18"/>
      <c r="N38" s="26" t="s">
        <v>856</v>
      </c>
      <c r="O38" s="11"/>
      <c r="P38" s="10"/>
      <c r="Q38" s="8"/>
      <c r="R38" s="8"/>
      <c r="S38" s="15" t="s">
        <v>1200</v>
      </c>
      <c r="T38" s="8"/>
      <c r="U38" s="8"/>
      <c r="V38" s="8"/>
      <c r="W38" s="8"/>
      <c r="X38" s="11"/>
      <c r="Y38" s="8"/>
      <c r="Z38" s="8"/>
      <c r="AA38" s="9"/>
    </row>
    <row r="39" spans="1:27" ht="57.95" customHeight="1">
      <c r="A39" s="8" t="s">
        <v>858</v>
      </c>
      <c r="B39" s="8" t="s">
        <v>171</v>
      </c>
      <c r="C39" s="8" t="str">
        <f>IF(B39="","",IFERROR(INDEX(SakesV5[銘柄],MATCH(B39,SakesV5[酒款ID],0)),"酒款ID未找到"))</f>
        <v>榮光富士</v>
      </c>
      <c r="D39" s="8" t="str">
        <f>IF(B39="","",IFERROR(INDEX(SakesV5[酒款],MATCH(B39,SakesV5[酒款ID],0)),"酒款ID未找到"))</f>
        <v>酒未來</v>
      </c>
      <c r="E39" s="8" t="s">
        <v>778</v>
      </c>
      <c r="F39" s="8" t="s">
        <v>779</v>
      </c>
      <c r="G39" s="8" t="s">
        <v>780</v>
      </c>
      <c r="H39" s="9" t="s">
        <v>854</v>
      </c>
      <c r="I39" s="9"/>
      <c r="J39" s="22"/>
      <c r="K39" s="22"/>
      <c r="L39" s="10">
        <v>60</v>
      </c>
      <c r="M39" s="18"/>
      <c r="N39" s="26" t="s">
        <v>856</v>
      </c>
      <c r="O39" s="11"/>
      <c r="P39" s="10"/>
      <c r="Q39" s="8"/>
      <c r="R39" s="8"/>
      <c r="S39" s="15" t="s">
        <v>1200</v>
      </c>
      <c r="T39" s="8"/>
      <c r="U39" s="8"/>
      <c r="V39" s="8"/>
      <c r="W39" s="8"/>
      <c r="X39" s="11"/>
      <c r="Y39" s="8"/>
      <c r="Z39" s="8"/>
      <c r="AA39" s="9"/>
    </row>
    <row r="40" spans="1:27" ht="57.95" customHeight="1">
      <c r="A40" s="8" t="s">
        <v>859</v>
      </c>
      <c r="B40" s="8" t="s">
        <v>175</v>
      </c>
      <c r="C40" s="8" t="str">
        <f>IF(B40="","",IFERROR(INDEX(SakesV5[銘柄],MATCH(B40,SakesV5[酒款ID],0)),"酒款ID未找到"))</f>
        <v>紀土</v>
      </c>
      <c r="D40" s="8" t="str">
        <f>IF(B40="","",IFERROR(INDEX(SakesV5[酒款],MATCH(B40,SakesV5[酒款ID],0)),"酒款ID未找到"))</f>
        <v>純米酒</v>
      </c>
      <c r="E40" s="8" t="s">
        <v>778</v>
      </c>
      <c r="F40" s="8" t="s">
        <v>779</v>
      </c>
      <c r="G40" s="8" t="s">
        <v>780</v>
      </c>
      <c r="H40" s="9" t="s">
        <v>854</v>
      </c>
      <c r="I40" s="9"/>
      <c r="J40" s="22"/>
      <c r="K40" s="22"/>
      <c r="L40" s="10">
        <v>60</v>
      </c>
      <c r="M40" s="18"/>
      <c r="N40" s="26" t="s">
        <v>856</v>
      </c>
      <c r="O40" s="11"/>
      <c r="P40" s="10"/>
      <c r="Q40" s="8"/>
      <c r="R40" s="8"/>
      <c r="S40" s="15" t="s">
        <v>1200</v>
      </c>
      <c r="T40" s="8"/>
      <c r="U40" s="8"/>
      <c r="V40" s="8"/>
      <c r="W40" s="8"/>
      <c r="X40" s="11"/>
      <c r="Y40" s="8"/>
      <c r="Z40" s="8"/>
      <c r="AA40" s="9"/>
    </row>
    <row r="41" spans="1:27" ht="57.95" customHeight="1">
      <c r="A41" s="8" t="s">
        <v>860</v>
      </c>
      <c r="B41" s="8" t="s">
        <v>180</v>
      </c>
      <c r="C41" s="8" t="str">
        <f>IF(B41="","",IFERROR(INDEX(SakesV5[銘柄],MATCH(B41,SakesV5[酒款ID],0)),"酒款ID未找到"))</f>
        <v>九頭龍</v>
      </c>
      <c r="D41" s="8" t="str">
        <f>IF(B41="","",IFERROR(INDEX(SakesV5[酒款],MATCH(B41,SakesV5[酒款ID],0)),"酒款ID未找到"))</f>
        <v>逸品</v>
      </c>
      <c r="E41" s="8" t="s">
        <v>778</v>
      </c>
      <c r="F41" s="8" t="s">
        <v>779</v>
      </c>
      <c r="G41" s="8" t="s">
        <v>780</v>
      </c>
      <c r="H41" s="9" t="s">
        <v>854</v>
      </c>
      <c r="I41" s="9"/>
      <c r="J41" s="22"/>
      <c r="K41" s="22"/>
      <c r="L41" s="10">
        <v>60</v>
      </c>
      <c r="M41" s="18"/>
      <c r="N41" s="26" t="s">
        <v>856</v>
      </c>
      <c r="O41" s="11" t="s">
        <v>1199</v>
      </c>
      <c r="P41" s="10">
        <v>1680</v>
      </c>
      <c r="Q41" s="8" t="s">
        <v>787</v>
      </c>
      <c r="R41" s="8" t="s">
        <v>800</v>
      </c>
      <c r="S41" s="15" t="s">
        <v>1200</v>
      </c>
      <c r="T41" s="8"/>
      <c r="U41" s="8"/>
      <c r="V41" s="8"/>
      <c r="W41" s="8"/>
      <c r="X41" s="11"/>
      <c r="Y41" s="8"/>
      <c r="Z41" s="8"/>
      <c r="AA41" s="9"/>
    </row>
    <row r="42" spans="1:27" ht="57.95" customHeight="1">
      <c r="A42" s="8" t="s">
        <v>861</v>
      </c>
      <c r="B42" s="8" t="s">
        <v>189</v>
      </c>
      <c r="C42" s="8" t="str">
        <f>IF(B42="","",IFERROR(INDEX(SakesV5[銘柄],MATCH(B42,SakesV5[酒款ID],0)),"酒款ID未找到"))</f>
        <v>義俠</v>
      </c>
      <c r="D42" s="8" t="str">
        <f>IF(B42="","",IFERROR(INDEX(SakesV5[酒款],MATCH(B42,SakesV5[酒款ID],0)),"酒款ID未找到"))</f>
        <v>五百萬石 生原酒</v>
      </c>
      <c r="E42" s="8" t="s">
        <v>778</v>
      </c>
      <c r="F42" s="8" t="s">
        <v>779</v>
      </c>
      <c r="G42" s="8" t="s">
        <v>780</v>
      </c>
      <c r="H42" s="9" t="s">
        <v>854</v>
      </c>
      <c r="I42" s="9"/>
      <c r="J42" s="22"/>
      <c r="K42" s="22"/>
      <c r="L42" s="10">
        <v>60</v>
      </c>
      <c r="M42" s="18"/>
      <c r="N42" s="26" t="s">
        <v>856</v>
      </c>
      <c r="O42" s="11"/>
      <c r="P42" s="10"/>
      <c r="Q42" s="8"/>
      <c r="R42" s="8"/>
      <c r="S42" s="15" t="s">
        <v>1200</v>
      </c>
      <c r="T42" s="8"/>
      <c r="U42" s="8"/>
      <c r="V42" s="8"/>
      <c r="W42" s="8"/>
      <c r="X42" s="11"/>
      <c r="Y42" s="8"/>
      <c r="Z42" s="8"/>
      <c r="AA42" s="9"/>
    </row>
    <row r="43" spans="1:27" ht="57.95" customHeight="1">
      <c r="A43" s="8" t="s">
        <v>862</v>
      </c>
      <c r="B43" s="8" t="s">
        <v>193</v>
      </c>
      <c r="C43" s="8" t="str">
        <f>IF(B43="","",IFERROR(INDEX(SakesV5[銘柄],MATCH(B43,SakesV5[酒款ID],0)),"酒款ID未找到"))</f>
        <v>雨後之月</v>
      </c>
      <c r="D43" s="8" t="str">
        <f>IF(B43="","",IFERROR(INDEX(SakesV5[酒款],MATCH(B43,SakesV5[酒款ID],0)),"酒款ID未找到"))</f>
        <v>新月</v>
      </c>
      <c r="E43" s="8" t="s">
        <v>778</v>
      </c>
      <c r="F43" s="8" t="s">
        <v>779</v>
      </c>
      <c r="G43" s="8" t="s">
        <v>780</v>
      </c>
      <c r="H43" s="9" t="s">
        <v>854</v>
      </c>
      <c r="I43" s="9"/>
      <c r="J43" s="22"/>
      <c r="K43" s="22"/>
      <c r="L43" s="10">
        <v>60</v>
      </c>
      <c r="M43" s="18"/>
      <c r="N43" s="26" t="s">
        <v>856</v>
      </c>
      <c r="O43" s="11"/>
      <c r="P43" s="10"/>
      <c r="Q43" s="8"/>
      <c r="R43" s="8"/>
      <c r="S43" s="15" t="s">
        <v>1200</v>
      </c>
      <c r="T43" s="8"/>
      <c r="U43" s="8"/>
      <c r="V43" s="8"/>
      <c r="W43" s="8"/>
      <c r="X43" s="11"/>
      <c r="Y43" s="8"/>
      <c r="Z43" s="8"/>
      <c r="AA43" s="9"/>
    </row>
    <row r="44" spans="1:27" ht="57.95" customHeight="1">
      <c r="A44" s="8" t="s">
        <v>863</v>
      </c>
      <c r="B44" s="8" t="s">
        <v>200</v>
      </c>
      <c r="C44" s="8" t="str">
        <f>IF(B44="","",IFERROR(INDEX(SakesV5[銘柄],MATCH(B44,SakesV5[酒款ID],0)),"酒款ID未找到"))</f>
        <v>陸奧八仙</v>
      </c>
      <c r="D44" s="8" t="str">
        <f>IF(B44="","",IFERROR(INDEX(SakesV5[酒款],MATCH(B44,SakesV5[酒款ID],0)),"酒款ID未找到"))</f>
        <v>芳醇超辛生酒</v>
      </c>
      <c r="E44" s="8" t="s">
        <v>778</v>
      </c>
      <c r="F44" s="8" t="s">
        <v>779</v>
      </c>
      <c r="G44" s="8" t="s">
        <v>780</v>
      </c>
      <c r="H44" s="9" t="s">
        <v>854</v>
      </c>
      <c r="I44" s="9"/>
      <c r="J44" s="22"/>
      <c r="K44" s="22"/>
      <c r="L44" s="10">
        <v>60</v>
      </c>
      <c r="M44" s="18"/>
      <c r="N44" s="26" t="s">
        <v>856</v>
      </c>
      <c r="O44" s="11"/>
      <c r="P44" s="10"/>
      <c r="Q44" s="8"/>
      <c r="R44" s="8"/>
      <c r="S44" s="15" t="s">
        <v>1200</v>
      </c>
      <c r="T44" s="8"/>
      <c r="U44" s="8"/>
      <c r="V44" s="8"/>
      <c r="W44" s="8"/>
      <c r="X44" s="11"/>
      <c r="Y44" s="8"/>
      <c r="Z44" s="8"/>
      <c r="AA44" s="9"/>
    </row>
    <row r="45" spans="1:27" ht="57.95" customHeight="1">
      <c r="A45" s="8" t="s">
        <v>864</v>
      </c>
      <c r="B45" s="8" t="s">
        <v>205</v>
      </c>
      <c r="C45" s="8" t="str">
        <f>IF(B45="","",IFERROR(INDEX(SakesV5[銘柄],MATCH(B45,SakesV5[酒款ID],0)),"酒款ID未找到"))</f>
        <v>一滴入魂</v>
      </c>
      <c r="D45" s="8" t="str">
        <f>IF(B45="","",IFERROR(INDEX(SakesV5[酒款],MATCH(B45,SakesV5[酒款ID],0)),"酒款ID未找到"))</f>
        <v>純米吟釀</v>
      </c>
      <c r="E45" s="8" t="s">
        <v>778</v>
      </c>
      <c r="F45" s="8" t="s">
        <v>779</v>
      </c>
      <c r="G45" s="8" t="s">
        <v>780</v>
      </c>
      <c r="H45" s="9" t="s">
        <v>854</v>
      </c>
      <c r="I45" s="9"/>
      <c r="J45" s="22"/>
      <c r="K45" s="22"/>
      <c r="L45" s="10">
        <v>60</v>
      </c>
      <c r="M45" s="18"/>
      <c r="N45" s="26" t="s">
        <v>856</v>
      </c>
      <c r="O45" s="11"/>
      <c r="P45" s="10"/>
      <c r="Q45" s="8"/>
      <c r="R45" s="8"/>
      <c r="S45" s="15" t="s">
        <v>1200</v>
      </c>
      <c r="T45" s="8"/>
      <c r="U45" s="8"/>
      <c r="V45" s="8"/>
      <c r="W45" s="8"/>
      <c r="X45" s="11"/>
      <c r="Y45" s="8"/>
      <c r="Z45" s="8"/>
      <c r="AA45" s="9"/>
    </row>
    <row r="46" spans="1:27" ht="57.95" customHeight="1">
      <c r="A46" s="8" t="s">
        <v>865</v>
      </c>
      <c r="B46" s="8" t="s">
        <v>208</v>
      </c>
      <c r="C46" s="8" t="str">
        <f>IF(B46="","",IFERROR(INDEX(SakesV5[銘柄],MATCH(B46,SakesV5[酒款ID],0)),"酒款ID未找到"))</f>
        <v>賀茂鶴</v>
      </c>
      <c r="D46" s="8" t="str">
        <f>IF(B46="","",IFERROR(INDEX(SakesV5[酒款],MATCH(B46,SakesV5[酒款ID],0)),"酒款ID未找到"))</f>
        <v>上等酒 本釀造</v>
      </c>
      <c r="E46" s="8" t="s">
        <v>778</v>
      </c>
      <c r="F46" s="8" t="s">
        <v>779</v>
      </c>
      <c r="G46" s="8" t="s">
        <v>780</v>
      </c>
      <c r="H46" s="9" t="s">
        <v>854</v>
      </c>
      <c r="I46" s="9"/>
      <c r="J46" s="22"/>
      <c r="K46" s="22"/>
      <c r="L46" s="10">
        <v>60</v>
      </c>
      <c r="M46" s="18"/>
      <c r="N46" s="26" t="s">
        <v>856</v>
      </c>
      <c r="O46" s="11"/>
      <c r="P46" s="10"/>
      <c r="Q46" s="8"/>
      <c r="R46" s="8"/>
      <c r="S46" s="15" t="s">
        <v>1200</v>
      </c>
      <c r="T46" s="8"/>
      <c r="U46" s="8"/>
      <c r="V46" s="8"/>
      <c r="W46" s="8"/>
      <c r="X46" s="11"/>
      <c r="Y46" s="8"/>
      <c r="Z46" s="8"/>
      <c r="AA46" s="9"/>
    </row>
    <row r="47" spans="1:27" ht="57.95" customHeight="1">
      <c r="A47" s="8" t="s">
        <v>866</v>
      </c>
      <c r="B47" s="8" t="s">
        <v>211</v>
      </c>
      <c r="C47" s="8" t="str">
        <f>IF(B47="","",IFERROR(INDEX(SakesV5[銘柄],MATCH(B47,SakesV5[酒款ID],0)),"酒款ID未找到"))</f>
        <v>楯野川</v>
      </c>
      <c r="D47" s="8" t="str">
        <f>IF(B47="","",IFERROR(INDEX(SakesV5[酒款],MATCH(B47,SakesV5[酒款ID],0)),"酒款ID未找到"))</f>
        <v>風流 純米大吟釀</v>
      </c>
      <c r="E47" s="8" t="s">
        <v>778</v>
      </c>
      <c r="F47" s="8" t="s">
        <v>779</v>
      </c>
      <c r="G47" s="8" t="s">
        <v>780</v>
      </c>
      <c r="H47" s="9" t="s">
        <v>854</v>
      </c>
      <c r="I47" s="9"/>
      <c r="J47" s="22"/>
      <c r="K47" s="22"/>
      <c r="L47" s="10">
        <v>60</v>
      </c>
      <c r="M47" s="18"/>
      <c r="N47" s="26" t="s">
        <v>856</v>
      </c>
      <c r="O47" s="11"/>
      <c r="P47" s="10"/>
      <c r="Q47" s="8"/>
      <c r="R47" s="8"/>
      <c r="S47" s="15" t="s">
        <v>1200</v>
      </c>
      <c r="T47" s="8"/>
      <c r="U47" s="8"/>
      <c r="V47" s="8"/>
      <c r="W47" s="8"/>
      <c r="X47" s="11"/>
      <c r="Y47" s="8"/>
      <c r="Z47" s="8"/>
      <c r="AA47" s="9"/>
    </row>
    <row r="48" spans="1:27" ht="57.95" customHeight="1">
      <c r="A48" s="8" t="s">
        <v>867</v>
      </c>
      <c r="B48" s="8" t="s">
        <v>214</v>
      </c>
      <c r="C48" s="8" t="str">
        <f>IF(B48="","",IFERROR(INDEX(SakesV5[銘柄],MATCH(B48,SakesV5[酒款ID],0)),"酒款ID未找到"))</f>
        <v>真澄</v>
      </c>
      <c r="D48" s="8" t="str">
        <f>IF(B48="","",IFERROR(INDEX(SakesV5[酒款],MATCH(B48,SakesV5[酒款ID],0)),"酒款ID未找到"))</f>
        <v>辛口金標</v>
      </c>
      <c r="E48" s="8" t="s">
        <v>778</v>
      </c>
      <c r="F48" s="8" t="s">
        <v>779</v>
      </c>
      <c r="G48" s="8" t="s">
        <v>780</v>
      </c>
      <c r="H48" s="9" t="s">
        <v>854</v>
      </c>
      <c r="I48" s="9"/>
      <c r="J48" s="22"/>
      <c r="K48" s="22"/>
      <c r="L48" s="10">
        <v>60</v>
      </c>
      <c r="M48" s="18"/>
      <c r="N48" s="26" t="s">
        <v>856</v>
      </c>
      <c r="O48" s="11"/>
      <c r="P48" s="10"/>
      <c r="Q48" s="8"/>
      <c r="R48" s="8"/>
      <c r="S48" s="15" t="s">
        <v>1200</v>
      </c>
      <c r="T48" s="8"/>
      <c r="U48" s="8"/>
      <c r="V48" s="8"/>
      <c r="W48" s="8"/>
      <c r="X48" s="11"/>
      <c r="Y48" s="8"/>
      <c r="Z48" s="8"/>
      <c r="AA48" s="9"/>
    </row>
    <row r="49" spans="1:27" ht="57.95" customHeight="1">
      <c r="A49" s="8" t="s">
        <v>868</v>
      </c>
      <c r="B49" s="8" t="s">
        <v>335</v>
      </c>
      <c r="C49" s="8" t="str">
        <f>IF(B49="","",IFERROR(INDEX(SakesV5[銘柄],MATCH(B49,SakesV5[酒款ID],0)),"酒款ID未找到"))</f>
        <v>風之森</v>
      </c>
      <c r="D49" s="8" t="str">
        <f>IF(B49="","",IFERROR(INDEX(SakesV5[酒款],MATCH(B49,SakesV5[酒款ID],0)),"酒款ID未找到"))</f>
        <v>未來預想酒Ⅲ 時之重疊三重奏</v>
      </c>
      <c r="E49" s="8" t="s">
        <v>869</v>
      </c>
      <c r="F49" s="8" t="s">
        <v>793</v>
      </c>
      <c r="G49" s="8" t="s">
        <v>794</v>
      </c>
      <c r="H49" s="13" t="s">
        <v>870</v>
      </c>
      <c r="I49" s="9"/>
      <c r="J49" s="22"/>
      <c r="K49" s="22"/>
      <c r="L49" s="10"/>
      <c r="M49" s="18">
        <v>720</v>
      </c>
      <c r="N49" s="13" t="s">
        <v>1167</v>
      </c>
      <c r="O49" s="11"/>
      <c r="P49" s="10">
        <v>3300</v>
      </c>
      <c r="Q49" s="8" t="s">
        <v>787</v>
      </c>
      <c r="R49" s="8" t="s">
        <v>795</v>
      </c>
      <c r="S49" s="9"/>
      <c r="T49" s="8"/>
      <c r="U49" s="8"/>
      <c r="V49" s="8"/>
      <c r="W49" s="8"/>
      <c r="X49" s="11"/>
      <c r="Y49" s="8"/>
      <c r="Z49" s="8"/>
      <c r="AA49" s="9" t="s">
        <v>805</v>
      </c>
    </row>
    <row r="50" spans="1:27" ht="57.95" customHeight="1">
      <c r="A50" s="8" t="s">
        <v>871</v>
      </c>
      <c r="B50" s="8" t="s">
        <v>340</v>
      </c>
      <c r="C50" s="8" t="str">
        <f>IF(B50="","",IFERROR(INDEX(SakesV5[銘柄],MATCH(B50,SakesV5[酒款ID],0)),"酒款ID未找到"))</f>
        <v>風之森</v>
      </c>
      <c r="D50" s="8" t="str">
        <f>IF(B50="","",IFERROR(INDEX(SakesV5[酒款],MATCH(B50,SakesV5[酒款ID],0)),"酒款ID未找到"))</f>
        <v>Challenge Edition 2026 真中採 無濾過生原酒</v>
      </c>
      <c r="E50" s="8" t="s">
        <v>872</v>
      </c>
      <c r="F50" s="8" t="s">
        <v>793</v>
      </c>
      <c r="G50" s="8" t="s">
        <v>794</v>
      </c>
      <c r="H50" s="16" t="s">
        <v>808</v>
      </c>
      <c r="I50" s="9"/>
      <c r="J50" s="22"/>
      <c r="K50" s="22"/>
      <c r="L50" s="10"/>
      <c r="M50" s="18">
        <v>720</v>
      </c>
      <c r="N50" s="15" t="s">
        <v>1166</v>
      </c>
      <c r="O50" s="11"/>
      <c r="P50" s="10">
        <v>2100</v>
      </c>
      <c r="Q50" s="8" t="s">
        <v>787</v>
      </c>
      <c r="R50" s="8" t="s">
        <v>795</v>
      </c>
      <c r="S50" s="9"/>
      <c r="T50" s="8"/>
      <c r="U50" s="8"/>
      <c r="V50" s="8"/>
      <c r="W50" s="8"/>
      <c r="X50" s="11"/>
      <c r="Y50" s="8"/>
      <c r="Z50" s="8"/>
      <c r="AA50" s="9" t="s">
        <v>805</v>
      </c>
    </row>
    <row r="51" spans="1:27" ht="57.95" customHeight="1">
      <c r="A51" s="8" t="s">
        <v>873</v>
      </c>
      <c r="B51" s="8" t="s">
        <v>563</v>
      </c>
      <c r="C51" s="8" t="str">
        <f>IF(B51="","",IFERROR(INDEX(SakesV5[銘柄],MATCH(B51,SakesV5[酒款ID],0)),"酒款ID未找到"))</f>
        <v>若駒</v>
      </c>
      <c r="D51" s="8" t="str">
        <f>IF(B51="","",IFERROR(INDEX(SakesV5[酒款],MATCH(B51,SakesV5[酒款ID],0)),"酒款ID未找到"))</f>
        <v>愛山90 純米 無濾過生原酒</v>
      </c>
      <c r="E51" s="8" t="s">
        <v>785</v>
      </c>
      <c r="F51" s="8" t="s">
        <v>779</v>
      </c>
      <c r="G51" s="8" t="s">
        <v>794</v>
      </c>
      <c r="H51" s="9" t="s">
        <v>874</v>
      </c>
      <c r="I51" s="9"/>
      <c r="J51" s="22"/>
      <c r="K51" s="22"/>
      <c r="L51" s="10">
        <v>60</v>
      </c>
      <c r="M51" s="18"/>
      <c r="N51" s="8" t="s">
        <v>875</v>
      </c>
      <c r="O51" s="11"/>
      <c r="P51" s="10"/>
      <c r="Q51" s="8"/>
      <c r="R51" s="8"/>
      <c r="S51" s="9"/>
      <c r="T51" s="8"/>
      <c r="U51" s="8"/>
      <c r="V51" s="8"/>
      <c r="W51" s="8"/>
      <c r="X51" s="11"/>
      <c r="Y51" s="8"/>
      <c r="Z51" s="8"/>
      <c r="AA51" s="9"/>
    </row>
    <row r="52" spans="1:27" ht="57.95" customHeight="1">
      <c r="A52" s="8" t="s">
        <v>876</v>
      </c>
      <c r="B52" s="8" t="s">
        <v>646</v>
      </c>
      <c r="C52" s="8" t="str">
        <f>IF(B52="","",IFERROR(INDEX(SakesV5[銘柄],MATCH(B52,SakesV5[酒款ID],0)),"酒款ID未找到"))</f>
        <v>福海</v>
      </c>
      <c r="D52" s="8" t="str">
        <f>IF(B52="","",IFERROR(INDEX(SakesV5[酒款],MATCH(B52,SakesV5[酒款ID],0)),"酒款ID未找到"))</f>
        <v>海標</v>
      </c>
      <c r="E52" s="8" t="s">
        <v>785</v>
      </c>
      <c r="F52" s="8" t="s">
        <v>779</v>
      </c>
      <c r="G52" s="8" t="s">
        <v>794</v>
      </c>
      <c r="H52" s="9" t="s">
        <v>1215</v>
      </c>
      <c r="I52" s="9"/>
      <c r="J52" s="22"/>
      <c r="K52" s="22"/>
      <c r="L52" s="10">
        <v>60</v>
      </c>
      <c r="M52" s="18"/>
      <c r="N52" s="9" t="s">
        <v>1215</v>
      </c>
      <c r="O52" s="11"/>
      <c r="P52" s="10">
        <v>400</v>
      </c>
      <c r="Q52" s="8" t="s">
        <v>787</v>
      </c>
      <c r="R52" s="8" t="s">
        <v>877</v>
      </c>
      <c r="S52" s="9"/>
      <c r="T52" s="8"/>
      <c r="U52" s="8"/>
      <c r="V52" s="8"/>
      <c r="W52" s="8"/>
      <c r="X52" s="11"/>
      <c r="Y52" s="8"/>
      <c r="Z52" s="8"/>
      <c r="AA52" s="9" t="s">
        <v>878</v>
      </c>
    </row>
    <row r="53" spans="1:27" ht="57.95" customHeight="1">
      <c r="A53" s="8" t="s">
        <v>879</v>
      </c>
      <c r="B53" s="8" t="s">
        <v>686</v>
      </c>
      <c r="C53" s="8" t="str">
        <f>IF(B53="","",IFERROR(INDEX(SakesV5[銘柄],MATCH(B53,SakesV5[酒款ID],0)),"酒款ID未找到"))</f>
        <v>台中六十五</v>
      </c>
      <c r="D53" s="8" t="str">
        <f>IF(B53="","",IFERROR(INDEX(SakesV5[酒款],MATCH(B53,SakesV5[酒款ID],0)),"酒款ID未找到"))</f>
        <v>山廢 純米大吟釀</v>
      </c>
      <c r="E53" s="8" t="s">
        <v>785</v>
      </c>
      <c r="F53" s="8" t="s">
        <v>793</v>
      </c>
      <c r="G53" s="8" t="s">
        <v>794</v>
      </c>
      <c r="H53" s="9" t="s">
        <v>1215</v>
      </c>
      <c r="I53" s="9"/>
      <c r="J53" s="22"/>
      <c r="K53" s="22"/>
      <c r="L53" s="10"/>
      <c r="M53" s="18">
        <v>720</v>
      </c>
      <c r="N53" s="9" t="s">
        <v>1215</v>
      </c>
      <c r="O53" s="11"/>
      <c r="P53" s="10">
        <v>3450</v>
      </c>
      <c r="Q53" s="8" t="s">
        <v>787</v>
      </c>
      <c r="R53" s="8" t="s">
        <v>795</v>
      </c>
      <c r="S53" s="9"/>
      <c r="T53" s="8"/>
      <c r="U53" s="8"/>
      <c r="V53" s="8"/>
      <c r="W53" s="8"/>
      <c r="X53" s="11"/>
      <c r="Y53" s="8"/>
      <c r="Z53" s="8"/>
      <c r="AA53" s="9" t="s">
        <v>805</v>
      </c>
    </row>
    <row r="54" spans="1:27" ht="57.95" customHeight="1">
      <c r="A54" s="8" t="s">
        <v>880</v>
      </c>
      <c r="B54" s="8" t="s">
        <v>700</v>
      </c>
      <c r="C54" s="8" t="str">
        <f>IF(B54="","",IFERROR(INDEX(SakesV5[銘柄],MATCH(B54,SakesV5[酒款ID],0)),"酒款ID未找到"))</f>
        <v>神藏</v>
      </c>
      <c r="D54" s="8" t="str">
        <f>IF(B54="","",IFERROR(INDEX(SakesV5[酒款],MATCH(B54,SakesV5[酒款ID],0)),"酒款ID未找到"))</f>
        <v>CLEAR 祝</v>
      </c>
      <c r="E54" s="8" t="s">
        <v>798</v>
      </c>
      <c r="F54" s="8" t="s">
        <v>793</v>
      </c>
      <c r="G54" s="8" t="s">
        <v>794</v>
      </c>
      <c r="H54" s="9" t="s">
        <v>1215</v>
      </c>
      <c r="I54" s="9"/>
      <c r="J54" s="22"/>
      <c r="K54" s="22"/>
      <c r="L54" s="10"/>
      <c r="M54" s="18">
        <v>720</v>
      </c>
      <c r="N54" s="9" t="s">
        <v>1215</v>
      </c>
      <c r="O54" s="11"/>
      <c r="P54" s="10">
        <v>3300</v>
      </c>
      <c r="Q54" s="8" t="s">
        <v>787</v>
      </c>
      <c r="R54" s="8" t="s">
        <v>795</v>
      </c>
      <c r="S54" s="9"/>
      <c r="T54" s="8"/>
      <c r="U54" s="8"/>
      <c r="V54" s="8"/>
      <c r="W54" s="8"/>
      <c r="X54" s="11"/>
      <c r="Y54" s="8"/>
      <c r="Z54" s="8"/>
      <c r="AA54" s="9" t="s">
        <v>805</v>
      </c>
    </row>
    <row r="55" spans="1:27" ht="57.95" customHeight="1">
      <c r="A55" s="8" t="s">
        <v>881</v>
      </c>
      <c r="B55" s="8" t="s">
        <v>746</v>
      </c>
      <c r="C55" s="8" t="str">
        <f>IF(B55="","",IFERROR(INDEX(SakesV5[銘柄],MATCH(B55,SakesV5[酒款ID],0)),"酒款ID未找到"))</f>
        <v>阿部勘</v>
      </c>
      <c r="D55" s="8" t="str">
        <f>IF(B55="","",IFERROR(INDEX(SakesV5[酒款],MATCH(B55,SakesV5[酒款ID],0)),"酒款ID未找到"))</f>
        <v>純米吟釀夏季清酒金魚標籤</v>
      </c>
      <c r="E55" s="8" t="s">
        <v>798</v>
      </c>
      <c r="F55" s="8" t="s">
        <v>779</v>
      </c>
      <c r="G55" s="8" t="s">
        <v>794</v>
      </c>
      <c r="H55" s="9" t="s">
        <v>1215</v>
      </c>
      <c r="I55" s="9"/>
      <c r="J55" s="22"/>
      <c r="K55" s="22"/>
      <c r="L55" s="10">
        <v>60</v>
      </c>
      <c r="M55" s="18"/>
      <c r="N55" s="9" t="s">
        <v>1215</v>
      </c>
      <c r="O55" s="11"/>
      <c r="P55" s="10">
        <v>350</v>
      </c>
      <c r="Q55" s="8" t="s">
        <v>787</v>
      </c>
      <c r="R55" s="8" t="s">
        <v>877</v>
      </c>
      <c r="S55" s="9"/>
      <c r="T55" s="8"/>
      <c r="U55" s="8"/>
      <c r="V55" s="8"/>
      <c r="W55" s="8"/>
      <c r="X55" s="11"/>
      <c r="Y55" s="8"/>
      <c r="Z55" s="8"/>
      <c r="AA55" s="9"/>
    </row>
    <row r="56" spans="1:27" ht="57.95" customHeight="1">
      <c r="A56" s="8" t="s">
        <v>882</v>
      </c>
      <c r="B56" s="8" t="s">
        <v>749</v>
      </c>
      <c r="C56" s="8" t="str">
        <f>IF(B56="","",IFERROR(INDEX(SakesV5[銘柄],MATCH(B56,SakesV5[酒款ID],0)),"酒款ID未找到"))</f>
        <v>津島屋</v>
      </c>
      <c r="D56" s="8" t="str">
        <f>IF(B56="","",IFERROR(INDEX(SakesV5[酒款],MATCH(B56,SakesV5[酒款ID],0)),"酒款ID未找到"))</f>
        <v>純米吟釀 信州山惠錦 無濾過生原酒</v>
      </c>
      <c r="E56" s="8" t="s">
        <v>798</v>
      </c>
      <c r="F56" s="8" t="s">
        <v>779</v>
      </c>
      <c r="G56" s="8" t="s">
        <v>794</v>
      </c>
      <c r="H56" s="9" t="s">
        <v>1215</v>
      </c>
      <c r="I56" s="9"/>
      <c r="J56" s="22"/>
      <c r="K56" s="22"/>
      <c r="L56" s="10">
        <v>60</v>
      </c>
      <c r="M56" s="18"/>
      <c r="N56" s="9" t="s">
        <v>1215</v>
      </c>
      <c r="O56" s="11"/>
      <c r="P56" s="10">
        <v>320</v>
      </c>
      <c r="Q56" s="8" t="s">
        <v>787</v>
      </c>
      <c r="R56" s="8" t="s">
        <v>877</v>
      </c>
      <c r="S56" s="9"/>
      <c r="T56" s="8"/>
      <c r="U56" s="8"/>
      <c r="V56" s="8"/>
      <c r="W56" s="8"/>
      <c r="X56" s="11"/>
      <c r="Y56" s="8"/>
      <c r="Z56" s="8"/>
      <c r="AA56" s="9"/>
    </row>
    <row r="57" spans="1:27" ht="57.95" customHeight="1">
      <c r="A57" s="8" t="s">
        <v>883</v>
      </c>
      <c r="B57" s="8" t="s">
        <v>96</v>
      </c>
      <c r="C57" s="8" t="str">
        <f>IF(B57="","",IFERROR(INDEX(SakesV5[銘柄],MATCH(B57,SakesV5[酒款ID],0)),"酒款ID未找到"))</f>
        <v>AKABU</v>
      </c>
      <c r="D57" s="8" t="str">
        <f>IF(B57="","",IFERROR(INDEX(SakesV5[酒款],MATCH(B57,SakesV5[酒款ID],0)),"酒款ID未找到"))</f>
        <v>SEA 純米</v>
      </c>
      <c r="E57" s="8" t="s">
        <v>884</v>
      </c>
      <c r="F57" s="8" t="s">
        <v>779</v>
      </c>
      <c r="G57" s="8" t="s">
        <v>780</v>
      </c>
      <c r="H57" s="9" t="s">
        <v>1215</v>
      </c>
      <c r="I57" s="9"/>
      <c r="J57" s="22"/>
      <c r="K57" s="22"/>
      <c r="L57" s="10">
        <v>60</v>
      </c>
      <c r="M57" s="18"/>
      <c r="N57" s="9" t="s">
        <v>1215</v>
      </c>
      <c r="O57" s="11"/>
      <c r="P57" s="10"/>
      <c r="Q57" s="8"/>
      <c r="R57" s="8"/>
      <c r="S57" s="9"/>
      <c r="T57" s="8"/>
      <c r="U57" s="8"/>
      <c r="V57" s="8"/>
      <c r="W57" s="8"/>
      <c r="X57" s="11"/>
      <c r="Y57" s="8"/>
      <c r="Z57" s="8" t="s">
        <v>823</v>
      </c>
      <c r="AA57" s="9"/>
    </row>
    <row r="58" spans="1:27" ht="57.95" customHeight="1">
      <c r="A58" s="8" t="s">
        <v>885</v>
      </c>
      <c r="B58" s="8" t="s">
        <v>99</v>
      </c>
      <c r="C58" s="8" t="str">
        <f>IF(B58="","",IFERROR(INDEX(SakesV5[銘柄],MATCH(B58,SakesV5[酒款ID],0)),"酒款ID未找到"))</f>
        <v>AKABU</v>
      </c>
      <c r="D58" s="8" t="str">
        <f>IF(B58="","",IFERROR(INDEX(SakesV5[酒款],MATCH(B58,SakesV5[酒款ID],0)),"酒款ID未找到"))</f>
        <v>AIR 純米</v>
      </c>
      <c r="E58" s="8" t="s">
        <v>884</v>
      </c>
      <c r="F58" s="8" t="s">
        <v>779</v>
      </c>
      <c r="G58" s="8" t="s">
        <v>780</v>
      </c>
      <c r="H58" s="9" t="s">
        <v>1215</v>
      </c>
      <c r="I58" s="9"/>
      <c r="J58" s="22"/>
      <c r="K58" s="22"/>
      <c r="L58" s="10">
        <v>60</v>
      </c>
      <c r="M58" s="18"/>
      <c r="N58" s="9" t="s">
        <v>1215</v>
      </c>
      <c r="O58" s="11"/>
      <c r="P58" s="10"/>
      <c r="Q58" s="8"/>
      <c r="R58" s="8"/>
      <c r="S58" s="9"/>
      <c r="T58" s="8"/>
      <c r="U58" s="8"/>
      <c r="V58" s="8"/>
      <c r="W58" s="8"/>
      <c r="X58" s="11"/>
      <c r="Y58" s="8"/>
      <c r="Z58" s="8" t="s">
        <v>823</v>
      </c>
      <c r="AA58" s="9"/>
    </row>
    <row r="59" spans="1:27" ht="57.95" customHeight="1">
      <c r="A59" s="8" t="s">
        <v>886</v>
      </c>
      <c r="B59" s="8" t="s">
        <v>101</v>
      </c>
      <c r="C59" s="8" t="str">
        <f>IF(B59="","",IFERROR(INDEX(SakesV5[銘柄],MATCH(B59,SakesV5[酒款ID],0)),"酒款ID未找到"))</f>
        <v>AKABU</v>
      </c>
      <c r="D59" s="8" t="str">
        <f>IF(B59="","",IFERROR(INDEX(SakesV5[酒款],MATCH(B59,SakesV5[酒款ID],0)),"酒款ID未找到"))</f>
        <v>MOUNTAIN 純米</v>
      </c>
      <c r="E59" s="8" t="s">
        <v>872</v>
      </c>
      <c r="F59" s="8" t="s">
        <v>793</v>
      </c>
      <c r="G59" s="8" t="s">
        <v>780</v>
      </c>
      <c r="H59" s="9" t="s">
        <v>1215</v>
      </c>
      <c r="I59" s="9"/>
      <c r="J59" s="22"/>
      <c r="K59" s="22"/>
      <c r="L59" s="10">
        <v>60</v>
      </c>
      <c r="M59" s="18">
        <v>720</v>
      </c>
      <c r="N59" s="9" t="s">
        <v>1215</v>
      </c>
      <c r="O59" s="11"/>
      <c r="P59" s="10"/>
      <c r="Q59" s="8"/>
      <c r="R59" s="8"/>
      <c r="S59" s="9"/>
      <c r="T59" s="8"/>
      <c r="U59" s="8"/>
      <c r="V59" s="8"/>
      <c r="W59" s="8"/>
      <c r="X59" s="11"/>
      <c r="Y59" s="8"/>
      <c r="Z59" s="8" t="s">
        <v>823</v>
      </c>
      <c r="AA59" s="9"/>
    </row>
    <row r="60" spans="1:27" ht="57.95" customHeight="1">
      <c r="A60" s="8" t="s">
        <v>887</v>
      </c>
      <c r="B60" s="8" t="s">
        <v>104</v>
      </c>
      <c r="C60" s="8" t="str">
        <f>IF(B60="","",IFERROR(INDEX(SakesV5[銘柄],MATCH(B60,SakesV5[酒款ID],0)),"酒款ID未找到"))</f>
        <v>高砂 松喰鶴</v>
      </c>
      <c r="D60" s="8" t="str">
        <f>IF(B60="","",IFERROR(INDEX(SakesV5[酒款],MATCH(B60,SakesV5[酒款ID],0)),"酒款ID未找到"))</f>
        <v>純米大吟醸 木桶きもと 火入れ</v>
      </c>
      <c r="E60" s="8" t="s">
        <v>778</v>
      </c>
      <c r="F60" s="8" t="s">
        <v>779</v>
      </c>
      <c r="G60" s="8" t="s">
        <v>780</v>
      </c>
      <c r="H60" s="9" t="s">
        <v>781</v>
      </c>
      <c r="I60" s="9"/>
      <c r="J60" s="22"/>
      <c r="K60" s="22"/>
      <c r="L60" s="10">
        <v>60</v>
      </c>
      <c r="M60" s="18"/>
      <c r="N60" s="9" t="s">
        <v>781</v>
      </c>
      <c r="O60" s="11"/>
      <c r="P60" s="10"/>
      <c r="Q60" s="8" t="s">
        <v>782</v>
      </c>
      <c r="R60" s="8" t="s">
        <v>800</v>
      </c>
      <c r="S60" s="64" t="s">
        <v>1218</v>
      </c>
      <c r="T60" s="8"/>
      <c r="U60" s="8"/>
      <c r="V60" s="8"/>
      <c r="W60" s="8"/>
      <c r="X60" s="11"/>
      <c r="Y60" s="8"/>
      <c r="Z60" s="8"/>
      <c r="AA60" s="9"/>
    </row>
    <row r="61" spans="1:27" ht="57.95" customHeight="1">
      <c r="A61" s="8" t="s">
        <v>888</v>
      </c>
      <c r="B61" s="8" t="s">
        <v>107</v>
      </c>
      <c r="C61" s="8" t="str">
        <f>IF(B61="","",IFERROR(INDEX(SakesV5[銘柄],MATCH(B61,SakesV5[酒款ID],0)),"酒款ID未找到"))</f>
        <v>PHILIA</v>
      </c>
      <c r="D61" s="8" t="str">
        <f>IF(B61="","",IFERROR(INDEX(SakesV5[酒款],MATCH(B61,SakesV5[酒款ID],0)),"酒款ID未找到"))</f>
        <v>PHILIA</v>
      </c>
      <c r="E61" s="8" t="s">
        <v>778</v>
      </c>
      <c r="F61" s="8" t="s">
        <v>779</v>
      </c>
      <c r="G61" s="8" t="s">
        <v>780</v>
      </c>
      <c r="H61" s="9" t="s">
        <v>781</v>
      </c>
      <c r="I61" s="9"/>
      <c r="J61" s="22"/>
      <c r="K61" s="22"/>
      <c r="L61" s="10">
        <v>60</v>
      </c>
      <c r="M61" s="18"/>
      <c r="N61" s="9" t="s">
        <v>781</v>
      </c>
      <c r="O61" s="11"/>
      <c r="P61" s="10"/>
      <c r="Q61" s="8" t="s">
        <v>782</v>
      </c>
      <c r="R61" s="8" t="s">
        <v>800</v>
      </c>
      <c r="S61" s="64" t="s">
        <v>1218</v>
      </c>
      <c r="T61" s="8"/>
      <c r="U61" s="8"/>
      <c r="V61" s="8"/>
      <c r="W61" s="8"/>
      <c r="X61" s="11"/>
      <c r="Y61" s="8"/>
      <c r="Z61" s="8"/>
      <c r="AA61" s="9"/>
    </row>
    <row r="62" spans="1:27" ht="57.95" customHeight="1">
      <c r="A62" s="8" t="s">
        <v>889</v>
      </c>
      <c r="B62" s="8" t="s">
        <v>109</v>
      </c>
      <c r="C62" s="8" t="str">
        <f>IF(B62="","",IFERROR(INDEX(SakesV5[銘柄],MATCH(B62,SakesV5[酒款ID],0)),"酒款ID未找到"))</f>
        <v xml:space="preserve">松の司 </v>
      </c>
      <c r="D62" s="8" t="str">
        <f>IF(B62="","",IFERROR(INDEX(SakesV5[酒款],MATCH(B62,SakesV5[酒款ID],0)),"酒款ID未找到"))</f>
        <v>大吟醸 Ultimus</v>
      </c>
      <c r="E62" s="8" t="s">
        <v>778</v>
      </c>
      <c r="F62" s="8" t="s">
        <v>779</v>
      </c>
      <c r="G62" s="8" t="s">
        <v>780</v>
      </c>
      <c r="H62" s="9" t="s">
        <v>781</v>
      </c>
      <c r="I62" s="9"/>
      <c r="J62" s="22"/>
      <c r="K62" s="22"/>
      <c r="L62" s="10">
        <v>60</v>
      </c>
      <c r="M62" s="18"/>
      <c r="N62" s="9" t="s">
        <v>781</v>
      </c>
      <c r="O62" s="11"/>
      <c r="P62" s="10"/>
      <c r="Q62" s="8" t="s">
        <v>782</v>
      </c>
      <c r="R62" s="8" t="s">
        <v>800</v>
      </c>
      <c r="S62" s="64" t="s">
        <v>1218</v>
      </c>
      <c r="T62" s="8"/>
      <c r="U62" s="8"/>
      <c r="V62" s="8"/>
      <c r="W62" s="8"/>
      <c r="X62" s="11"/>
      <c r="Y62" s="8"/>
      <c r="Z62" s="8"/>
      <c r="AA62" s="9"/>
    </row>
    <row r="63" spans="1:27" ht="57.95" customHeight="1">
      <c r="A63" s="8" t="s">
        <v>890</v>
      </c>
      <c r="B63" s="8" t="s">
        <v>115</v>
      </c>
      <c r="C63" s="8" t="str">
        <f>IF(B63="","",IFERROR(INDEX(SakesV5[銘柄],MATCH(B63,SakesV5[酒款ID],0)),"酒款ID未找到"))</f>
        <v>日日</v>
      </c>
      <c r="D63" s="8" t="str">
        <f>IF(B63="","",IFERROR(INDEX(SakesV5[酒款],MATCH(B63,SakesV5[酒款ID],0)),"酒款ID未找到"))</f>
        <v>秋津山田錦 自社田</v>
      </c>
      <c r="E63" s="8" t="s">
        <v>778</v>
      </c>
      <c r="F63" s="8" t="s">
        <v>779</v>
      </c>
      <c r="G63" s="8" t="s">
        <v>780</v>
      </c>
      <c r="H63" s="9" t="s">
        <v>781</v>
      </c>
      <c r="I63" s="9"/>
      <c r="J63" s="22"/>
      <c r="K63" s="22"/>
      <c r="L63" s="10">
        <v>60</v>
      </c>
      <c r="M63" s="18"/>
      <c r="N63" s="9" t="s">
        <v>781</v>
      </c>
      <c r="O63" s="11"/>
      <c r="P63" s="10"/>
      <c r="Q63" s="8" t="s">
        <v>782</v>
      </c>
      <c r="R63" s="8" t="s">
        <v>800</v>
      </c>
      <c r="S63" s="64" t="s">
        <v>1218</v>
      </c>
      <c r="T63" s="8"/>
      <c r="U63" s="8"/>
      <c r="V63" s="8"/>
      <c r="W63" s="8"/>
      <c r="X63" s="11"/>
      <c r="Y63" s="8"/>
      <c r="Z63" s="8"/>
      <c r="AA63" s="9"/>
    </row>
    <row r="64" spans="1:27" ht="57.95" customHeight="1">
      <c r="A64" s="8" t="s">
        <v>891</v>
      </c>
      <c r="B64" s="8" t="s">
        <v>119</v>
      </c>
      <c r="C64" s="8" t="str">
        <f>IF(B64="","",IFERROR(INDEX(SakesV5[銘柄],MATCH(B64,SakesV5[酒款ID],0)),"酒款ID未找到"))</f>
        <v>権化</v>
      </c>
      <c r="D64" s="8" t="str">
        <f>IF(B64="","",IFERROR(INDEX(SakesV5[酒款],MATCH(B64,SakesV5[酒款ID],0)),"酒款ID未找到"))</f>
        <v>土の密℃ 無濾過生原酒</v>
      </c>
      <c r="E64" s="8" t="s">
        <v>778</v>
      </c>
      <c r="F64" s="8" t="s">
        <v>779</v>
      </c>
      <c r="G64" s="8" t="s">
        <v>780</v>
      </c>
      <c r="H64" s="9" t="s">
        <v>781</v>
      </c>
      <c r="I64" s="9"/>
      <c r="J64" s="22"/>
      <c r="K64" s="22"/>
      <c r="L64" s="10">
        <v>60</v>
      </c>
      <c r="M64" s="18"/>
      <c r="N64" s="9" t="s">
        <v>781</v>
      </c>
      <c r="O64" s="11"/>
      <c r="P64" s="10"/>
      <c r="Q64" s="8" t="s">
        <v>782</v>
      </c>
      <c r="R64" s="8" t="s">
        <v>800</v>
      </c>
      <c r="S64" s="64" t="s">
        <v>1218</v>
      </c>
      <c r="T64" s="8"/>
      <c r="U64" s="8"/>
      <c r="V64" s="8"/>
      <c r="W64" s="8"/>
      <c r="X64" s="11"/>
      <c r="Y64" s="8"/>
      <c r="Z64" s="8"/>
      <c r="AA64" s="9"/>
    </row>
    <row r="65" spans="1:27" ht="57.95" customHeight="1">
      <c r="A65" s="8" t="s">
        <v>892</v>
      </c>
      <c r="B65" s="8" t="s">
        <v>187</v>
      </c>
      <c r="C65" s="8" t="str">
        <f>IF(B65="","",IFERROR(INDEX(SakesV5[銘柄],MATCH(B65,SakesV5[酒款ID],0)),"酒款ID未找到"))</f>
        <v>九頭龍</v>
      </c>
      <c r="D65" s="8" t="str">
        <f>IF(B65="","",IFERROR(INDEX(SakesV5[酒款],MATCH(B65,SakesV5[酒款ID],0)),"酒款ID未找到"))</f>
        <v>冰涼酒</v>
      </c>
      <c r="E65" s="8" t="s">
        <v>872</v>
      </c>
      <c r="F65" s="8" t="s">
        <v>779</v>
      </c>
      <c r="G65" s="8" t="s">
        <v>794</v>
      </c>
      <c r="H65" s="9" t="s">
        <v>1215</v>
      </c>
      <c r="I65" s="9"/>
      <c r="J65" s="22"/>
      <c r="K65" s="22"/>
      <c r="L65" s="10">
        <v>60</v>
      </c>
      <c r="M65" s="18"/>
      <c r="N65" s="9" t="s">
        <v>1215</v>
      </c>
      <c r="O65" s="11" t="s">
        <v>1198</v>
      </c>
      <c r="P65" s="10">
        <v>400</v>
      </c>
      <c r="Q65" s="8" t="s">
        <v>787</v>
      </c>
      <c r="R65" s="8" t="s">
        <v>877</v>
      </c>
      <c r="S65" s="9"/>
      <c r="T65" s="8"/>
      <c r="U65" s="8"/>
      <c r="V65" s="8"/>
      <c r="W65" s="8"/>
      <c r="X65" s="11"/>
      <c r="Y65" s="8"/>
      <c r="Z65" s="8"/>
      <c r="AA65" s="9"/>
    </row>
    <row r="66" spans="1:27" ht="57.95" customHeight="1">
      <c r="A66" s="8" t="s">
        <v>893</v>
      </c>
      <c r="B66" s="8" t="s">
        <v>219</v>
      </c>
      <c r="C66" s="8" t="str">
        <f>IF(B66="","",IFERROR(INDEX(SakesV5[銘柄],MATCH(B66,SakesV5[酒款ID],0)),"酒款ID未找到"))</f>
        <v>二兔</v>
      </c>
      <c r="D66" s="8" t="str">
        <f>IF(B66="","",IFERROR(INDEX(SakesV5[酒款],MATCH(B66,SakesV5[酒款ID],0)),"酒款ID未找到"))</f>
        <v>2026干支午年 純米吟釀</v>
      </c>
      <c r="E66" s="8" t="s">
        <v>869</v>
      </c>
      <c r="F66" s="8" t="s">
        <v>779</v>
      </c>
      <c r="G66" s="8" t="s">
        <v>794</v>
      </c>
      <c r="H66" s="9" t="s">
        <v>1215</v>
      </c>
      <c r="I66" s="9"/>
      <c r="J66" s="22"/>
      <c r="K66" s="22"/>
      <c r="L66" s="10">
        <v>60</v>
      </c>
      <c r="M66" s="18"/>
      <c r="N66" s="9" t="s">
        <v>1215</v>
      </c>
      <c r="O66" s="11" t="s">
        <v>894</v>
      </c>
      <c r="P66" s="10">
        <v>380</v>
      </c>
      <c r="Q66" s="8" t="s">
        <v>787</v>
      </c>
      <c r="R66" s="8" t="s">
        <v>877</v>
      </c>
      <c r="S66" s="9"/>
      <c r="T66" s="8"/>
      <c r="U66" s="8"/>
      <c r="V66" s="8"/>
      <c r="W66" s="8"/>
      <c r="X66" s="11"/>
      <c r="Y66" s="8"/>
      <c r="Z66" s="8"/>
      <c r="AA66" s="9"/>
    </row>
    <row r="67" spans="1:27" ht="57.95" customHeight="1">
      <c r="A67" s="8" t="s">
        <v>895</v>
      </c>
      <c r="B67" s="8" t="s">
        <v>224</v>
      </c>
      <c r="C67" s="8" t="str">
        <f>IF(B67="","",IFERROR(INDEX(SakesV5[銘柄],MATCH(B67,SakesV5[酒款ID],0)),"酒款ID未找到"))</f>
        <v>くどき上手</v>
      </c>
      <c r="D67" s="8" t="str">
        <f>IF(B67="","",IFERROR(INDEX(SakesV5[酒款],MATCH(B67,SakesV5[酒款ID],0)),"酒款ID未找到"))</f>
        <v>白ばくれん 超辛口吟釀</v>
      </c>
      <c r="E67" s="8" t="s">
        <v>869</v>
      </c>
      <c r="F67" s="8" t="s">
        <v>779</v>
      </c>
      <c r="G67" s="8" t="s">
        <v>794</v>
      </c>
      <c r="H67" s="9" t="s">
        <v>1215</v>
      </c>
      <c r="I67" s="9"/>
      <c r="J67" s="22"/>
      <c r="K67" s="22"/>
      <c r="L67" s="10"/>
      <c r="M67" s="18">
        <v>720</v>
      </c>
      <c r="N67" s="9" t="s">
        <v>1215</v>
      </c>
      <c r="O67" s="11" t="s">
        <v>894</v>
      </c>
      <c r="P67" s="10">
        <v>2900</v>
      </c>
      <c r="Q67" s="8" t="s">
        <v>787</v>
      </c>
      <c r="R67" s="8" t="s">
        <v>795</v>
      </c>
      <c r="S67" s="9"/>
      <c r="T67" s="8"/>
      <c r="U67" s="8"/>
      <c r="V67" s="8"/>
      <c r="W67" s="8"/>
      <c r="X67" s="11"/>
      <c r="Y67" s="8"/>
      <c r="Z67" s="8"/>
      <c r="AA67" s="9"/>
    </row>
    <row r="68" spans="1:27" ht="57.95" customHeight="1">
      <c r="A68" s="8" t="s">
        <v>896</v>
      </c>
      <c r="B68" s="8" t="s">
        <v>230</v>
      </c>
      <c r="C68" s="8" t="str">
        <f>IF(B68="","",IFERROR(INDEX(SakesV5[銘柄],MATCH(B68,SakesV5[酒款ID],0)),"酒款ID未找到"))</f>
        <v>くどき上手</v>
      </c>
      <c r="D68" s="8" t="str">
        <f>IF(B68="","",IFERROR(INDEX(SakesV5[酒款],MATCH(B68,SakesV5[酒款ID],0)),"酒款ID未找到"))</f>
        <v>Jr. Juicy辛口。改 純米大吟釀 生詰</v>
      </c>
      <c r="E68" s="8" t="s">
        <v>897</v>
      </c>
      <c r="F68" s="8" t="s">
        <v>793</v>
      </c>
      <c r="G68" s="8" t="s">
        <v>794</v>
      </c>
      <c r="H68" s="13" t="s">
        <v>808</v>
      </c>
      <c r="I68" s="9"/>
      <c r="J68" s="22"/>
      <c r="K68" s="22"/>
      <c r="L68" s="10"/>
      <c r="M68" s="18">
        <v>720</v>
      </c>
      <c r="N68" s="17" t="s">
        <v>1180</v>
      </c>
      <c r="O68" s="11"/>
      <c r="P68" s="10"/>
      <c r="Q68" s="8" t="s">
        <v>787</v>
      </c>
      <c r="R68" s="8" t="s">
        <v>877</v>
      </c>
      <c r="S68" s="9"/>
      <c r="T68" s="8"/>
      <c r="U68" s="8"/>
      <c r="V68" s="8"/>
      <c r="W68" s="8"/>
      <c r="X68" s="11"/>
      <c r="Y68" s="8"/>
      <c r="Z68" s="8"/>
      <c r="AA68" s="9"/>
    </row>
    <row r="69" spans="1:27" ht="57.95" customHeight="1">
      <c r="A69" s="8" t="s">
        <v>898</v>
      </c>
      <c r="B69" s="8" t="s">
        <v>232</v>
      </c>
      <c r="C69" s="8" t="str">
        <f>IF(B69="","",IFERROR(INDEX(SakesV5[銘柄],MATCH(B69,SakesV5[酒款ID],0)),"酒款ID未找到"))</f>
        <v>山形正宗</v>
      </c>
      <c r="D69" s="8" t="str">
        <f>IF(B69="","",IFERROR(INDEX(SakesV5[酒款],MATCH(B69,SakesV5[酒款ID],0)),"酒款ID未找到"))</f>
        <v>愛山 純米吟釀</v>
      </c>
      <c r="E69" s="8" t="s">
        <v>869</v>
      </c>
      <c r="F69" s="8" t="s">
        <v>779</v>
      </c>
      <c r="G69" s="8" t="s">
        <v>794</v>
      </c>
      <c r="H69" s="9" t="s">
        <v>1215</v>
      </c>
      <c r="I69" s="9"/>
      <c r="J69" s="22"/>
      <c r="K69" s="22"/>
      <c r="L69" s="10">
        <v>60</v>
      </c>
      <c r="M69" s="18">
        <v>720</v>
      </c>
      <c r="N69" s="9" t="s">
        <v>1215</v>
      </c>
      <c r="O69" s="11" t="s">
        <v>894</v>
      </c>
      <c r="P69" s="10">
        <v>420</v>
      </c>
      <c r="Q69" s="8" t="s">
        <v>787</v>
      </c>
      <c r="R69" s="8" t="s">
        <v>877</v>
      </c>
      <c r="S69" s="9"/>
      <c r="T69" s="8"/>
      <c r="U69" s="8"/>
      <c r="V69" s="8"/>
      <c r="W69" s="8"/>
      <c r="X69" s="11"/>
      <c r="Y69" s="8"/>
      <c r="Z69" s="8"/>
      <c r="AA69" s="9"/>
    </row>
    <row r="70" spans="1:27" ht="57.95" customHeight="1">
      <c r="A70" s="8" t="s">
        <v>899</v>
      </c>
      <c r="B70" s="8" t="s">
        <v>237</v>
      </c>
      <c r="C70" s="8" t="str">
        <f>IF(B70="","",IFERROR(INDEX(SakesV5[銘柄],MATCH(B70,SakesV5[酒款ID],0)),"酒款ID未找到"))</f>
        <v>鄉寶</v>
      </c>
      <c r="D70" s="8" t="str">
        <f>IF(B70="","",IFERROR(INDEX(SakesV5[酒款],MATCH(B70,SakesV5[酒款ID],0)),"酒款ID未找到"))</f>
        <v>純米大吟釀 壱火 三割五分</v>
      </c>
      <c r="E70" s="8" t="s">
        <v>869</v>
      </c>
      <c r="F70" s="8" t="s">
        <v>779</v>
      </c>
      <c r="G70" s="8" t="s">
        <v>794</v>
      </c>
      <c r="H70" s="9" t="s">
        <v>1215</v>
      </c>
      <c r="I70" s="9"/>
      <c r="J70" s="22"/>
      <c r="K70" s="22"/>
      <c r="L70" s="10">
        <v>60</v>
      </c>
      <c r="M70" s="18"/>
      <c r="N70" s="9" t="s">
        <v>1215</v>
      </c>
      <c r="O70" s="11" t="s">
        <v>894</v>
      </c>
      <c r="P70" s="10">
        <v>680</v>
      </c>
      <c r="Q70" s="8" t="s">
        <v>787</v>
      </c>
      <c r="R70" s="8" t="s">
        <v>877</v>
      </c>
      <c r="S70" s="9"/>
      <c r="T70" s="8"/>
      <c r="U70" s="8"/>
      <c r="V70" s="8"/>
      <c r="W70" s="8"/>
      <c r="X70" s="11"/>
      <c r="Y70" s="8"/>
      <c r="Z70" s="8"/>
      <c r="AA70" s="9"/>
    </row>
    <row r="71" spans="1:27" ht="57.95" customHeight="1">
      <c r="A71" s="8" t="s">
        <v>900</v>
      </c>
      <c r="B71" s="8" t="s">
        <v>243</v>
      </c>
      <c r="C71" s="8" t="str">
        <f>IF(B71="","",IFERROR(INDEX(SakesV5[銘柄],MATCH(B71,SakesV5[酒款ID],0)),"酒款ID未找到"))</f>
        <v>一之蔵</v>
      </c>
      <c r="D71" s="8" t="str">
        <f>IF(B71="","",IFERROR(INDEX(SakesV5[酒款],MATCH(B71,SakesV5[酒款ID],0)),"酒款ID未找到"))</f>
        <v>特別純米酒 ひやおろし</v>
      </c>
      <c r="E71" s="8" t="s">
        <v>869</v>
      </c>
      <c r="F71" s="8" t="s">
        <v>779</v>
      </c>
      <c r="G71" s="8" t="s">
        <v>794</v>
      </c>
      <c r="H71" s="9" t="s">
        <v>1215</v>
      </c>
      <c r="I71" s="9"/>
      <c r="J71" s="22"/>
      <c r="K71" s="22"/>
      <c r="L71" s="10">
        <v>60</v>
      </c>
      <c r="M71" s="18"/>
      <c r="N71" s="9" t="s">
        <v>1215</v>
      </c>
      <c r="O71" s="11" t="s">
        <v>894</v>
      </c>
      <c r="P71" s="10">
        <v>320</v>
      </c>
      <c r="Q71" s="8" t="s">
        <v>787</v>
      </c>
      <c r="R71" s="8" t="s">
        <v>877</v>
      </c>
      <c r="S71" s="9"/>
      <c r="T71" s="8"/>
      <c r="U71" s="8"/>
      <c r="V71" s="8"/>
      <c r="W71" s="8"/>
      <c r="X71" s="11"/>
      <c r="Y71" s="8"/>
      <c r="Z71" s="8"/>
      <c r="AA71" s="9"/>
    </row>
    <row r="72" spans="1:27" ht="57.95" customHeight="1">
      <c r="A72" s="8" t="s">
        <v>901</v>
      </c>
      <c r="B72" s="8" t="s">
        <v>250</v>
      </c>
      <c r="C72" s="8" t="str">
        <f>IF(B72="","",IFERROR(INDEX(SakesV5[銘柄],MATCH(B72,SakesV5[酒款ID],0)),"酒款ID未找到"))</f>
        <v>甍</v>
      </c>
      <c r="D72" s="8" t="str">
        <f>IF(B72="","",IFERROR(INDEX(SakesV5[酒款],MATCH(B72,SakesV5[酒款ID],0)),"酒款ID未找到"))</f>
        <v>銀藍 金紋錦 無濾過生原酒</v>
      </c>
      <c r="E72" s="8" t="s">
        <v>902</v>
      </c>
      <c r="F72" s="8" t="s">
        <v>779</v>
      </c>
      <c r="G72" s="8" t="s">
        <v>780</v>
      </c>
      <c r="H72" s="9" t="s">
        <v>1033</v>
      </c>
      <c r="I72" s="9"/>
      <c r="J72" s="22"/>
      <c r="K72" s="22"/>
      <c r="L72" s="10"/>
      <c r="M72" s="18">
        <v>720</v>
      </c>
      <c r="N72" s="8"/>
      <c r="O72" s="11"/>
      <c r="P72" s="10"/>
      <c r="Q72" s="8"/>
      <c r="R72" s="8"/>
      <c r="S72" s="9"/>
      <c r="T72" s="8"/>
      <c r="U72" s="8"/>
      <c r="V72" s="8"/>
      <c r="W72" s="8"/>
      <c r="X72" s="11"/>
      <c r="Y72" s="8"/>
      <c r="Z72" s="8"/>
      <c r="AA72" s="9"/>
    </row>
    <row r="73" spans="1:27" ht="57.95" customHeight="1">
      <c r="A73" s="8" t="s">
        <v>903</v>
      </c>
      <c r="B73" s="8" t="s">
        <v>255</v>
      </c>
      <c r="C73" s="8" t="str">
        <f>IF(B73="","",IFERROR(INDEX(SakesV5[銘柄],MATCH(B73,SakesV5[酒款ID],0)),"酒款ID未找到"))</f>
        <v>甍</v>
      </c>
      <c r="D73" s="8" t="str">
        <f>IF(B73="","",IFERROR(INDEX(SakesV5[酒款],MATCH(B73,SakesV5[酒款ID],0)),"酒款ID未找到"))</f>
        <v>銀藍 人心地 無濾過生原酒</v>
      </c>
      <c r="E73" s="8" t="s">
        <v>902</v>
      </c>
      <c r="F73" s="8" t="s">
        <v>779</v>
      </c>
      <c r="G73" s="8" t="s">
        <v>780</v>
      </c>
      <c r="H73" s="9" t="s">
        <v>1033</v>
      </c>
      <c r="I73" s="9"/>
      <c r="J73" s="22">
        <v>3.8</v>
      </c>
      <c r="K73" s="22">
        <v>4</v>
      </c>
      <c r="L73" s="10"/>
      <c r="M73" s="18">
        <v>720</v>
      </c>
      <c r="N73" s="8"/>
      <c r="O73" s="11"/>
      <c r="P73" s="10"/>
      <c r="Q73" s="8"/>
      <c r="R73" s="8"/>
      <c r="S73" s="9"/>
      <c r="T73" s="8"/>
      <c r="U73" s="8"/>
      <c r="V73" s="8"/>
      <c r="W73" s="8"/>
      <c r="X73" s="11"/>
      <c r="Y73" s="8"/>
      <c r="Z73" s="8"/>
      <c r="AA73" s="9"/>
    </row>
    <row r="74" spans="1:27" ht="57.95" customHeight="1">
      <c r="A74" s="8" t="s">
        <v>904</v>
      </c>
      <c r="B74" s="8" t="s">
        <v>257</v>
      </c>
      <c r="C74" s="8" t="str">
        <f>IF(B74="","",IFERROR(INDEX(SakesV5[銘柄],MATCH(B74,SakesV5[酒款ID],0)),"酒款ID未找到"))</f>
        <v>甍</v>
      </c>
      <c r="D74" s="8" t="str">
        <f>IF(B74="","",IFERROR(INDEX(SakesV5[酒款],MATCH(B74,SakesV5[酒款ID],0)),"酒款ID未找到"))</f>
        <v>銀曉 生酛釀造 無濾過原酒</v>
      </c>
      <c r="E74" s="8" t="s">
        <v>902</v>
      </c>
      <c r="F74" s="8" t="s">
        <v>779</v>
      </c>
      <c r="G74" s="8" t="s">
        <v>780</v>
      </c>
      <c r="H74" s="9" t="s">
        <v>1033</v>
      </c>
      <c r="I74" s="9"/>
      <c r="J74" s="22"/>
      <c r="K74" s="22"/>
      <c r="L74" s="10"/>
      <c r="M74" s="18">
        <v>720</v>
      </c>
      <c r="N74" s="8"/>
      <c r="O74" s="11"/>
      <c r="P74" s="10">
        <v>2600</v>
      </c>
      <c r="Q74" s="8" t="s">
        <v>787</v>
      </c>
      <c r="R74" s="8" t="s">
        <v>795</v>
      </c>
      <c r="S74" s="9"/>
      <c r="T74" s="8"/>
      <c r="U74" s="8"/>
      <c r="V74" s="8"/>
      <c r="W74" s="8"/>
      <c r="X74" s="11"/>
      <c r="Y74" s="8"/>
      <c r="Z74" s="8"/>
      <c r="AA74" s="9"/>
    </row>
    <row r="75" spans="1:27" ht="57.95" customHeight="1">
      <c r="A75" s="8" t="s">
        <v>905</v>
      </c>
      <c r="B75" s="8" t="s">
        <v>259</v>
      </c>
      <c r="C75" s="8" t="str">
        <f>IF(B75="","",IFERROR(INDEX(SakesV5[銘柄],MATCH(B75,SakesV5[酒款ID],0)),"酒款ID未找到"))</f>
        <v>甍</v>
      </c>
      <c r="D75" s="8" t="str">
        <f>IF(B75="","",IFERROR(INDEX(SakesV5[酒款],MATCH(B75,SakesV5[酒款ID],0)),"酒款ID未找到"))</f>
        <v>銀黑 人心地 無濾過生原酒</v>
      </c>
      <c r="E75" s="8" t="s">
        <v>902</v>
      </c>
      <c r="F75" s="8" t="s">
        <v>779</v>
      </c>
      <c r="G75" s="8" t="s">
        <v>780</v>
      </c>
      <c r="H75" s="9" t="s">
        <v>1033</v>
      </c>
      <c r="I75" s="9"/>
      <c r="J75" s="22"/>
      <c r="K75" s="22"/>
      <c r="L75" s="10"/>
      <c r="M75" s="18"/>
      <c r="N75" s="8"/>
      <c r="O75" s="11"/>
      <c r="P75" s="10"/>
      <c r="Q75" s="8"/>
      <c r="R75" s="8"/>
      <c r="S75" s="9"/>
      <c r="T75" s="8"/>
      <c r="U75" s="8"/>
      <c r="V75" s="8"/>
      <c r="W75" s="8"/>
      <c r="X75" s="11"/>
      <c r="Y75" s="8"/>
      <c r="Z75" s="8"/>
      <c r="AA75" s="9"/>
    </row>
    <row r="76" spans="1:27" ht="57.95" customHeight="1">
      <c r="A76" s="8" t="s">
        <v>906</v>
      </c>
      <c r="B76" s="8" t="s">
        <v>261</v>
      </c>
      <c r="C76" s="8" t="str">
        <f>IF(B76="","",IFERROR(INDEX(SakesV5[銘柄],MATCH(B76,SakesV5[酒款ID],0)),"酒款ID未找到"))</f>
        <v>甍</v>
      </c>
      <c r="D76" s="8" t="str">
        <f>IF(B76="","",IFERROR(INDEX(SakesV5[酒款],MATCH(B76,SakesV5[酒款ID],0)),"酒款ID未找到"))</f>
        <v>銀紅 長野D 人心地 無濾過原酒 火入</v>
      </c>
      <c r="E76" s="8" t="s">
        <v>902</v>
      </c>
      <c r="F76" s="8" t="s">
        <v>779</v>
      </c>
      <c r="G76" s="8" t="s">
        <v>780</v>
      </c>
      <c r="H76" s="9" t="s">
        <v>1033</v>
      </c>
      <c r="I76" s="9"/>
      <c r="J76" s="22"/>
      <c r="K76" s="22"/>
      <c r="L76" s="10"/>
      <c r="M76" s="18"/>
      <c r="N76" s="8"/>
      <c r="O76" s="11"/>
      <c r="P76" s="10"/>
      <c r="Q76" s="8"/>
      <c r="R76" s="8"/>
      <c r="S76" s="9"/>
      <c r="T76" s="8"/>
      <c r="U76" s="8"/>
      <c r="V76" s="8"/>
      <c r="W76" s="8"/>
      <c r="X76" s="11"/>
      <c r="Y76" s="8"/>
      <c r="Z76" s="8"/>
      <c r="AA76" s="9"/>
    </row>
    <row r="77" spans="1:27" ht="57.95" customHeight="1">
      <c r="A77" s="8" t="s">
        <v>907</v>
      </c>
      <c r="B77" s="8" t="s">
        <v>263</v>
      </c>
      <c r="C77" s="8" t="str">
        <f>IF(B77="","",IFERROR(INDEX(SakesV5[銘柄],MATCH(B77,SakesV5[酒款ID],0)),"酒款ID未找到"))</f>
        <v>甍</v>
      </c>
      <c r="D77" s="8" t="str">
        <f>IF(B77="","",IFERROR(INDEX(SakesV5[酒款],MATCH(B77,SakesV5[酒款ID],0)),"酒款ID未找到"))</f>
        <v>銀紅 長野D 金紋錦 無濾過原酒 火入</v>
      </c>
      <c r="E77" s="8" t="s">
        <v>902</v>
      </c>
      <c r="F77" s="8" t="s">
        <v>779</v>
      </c>
      <c r="G77" s="8" t="s">
        <v>780</v>
      </c>
      <c r="H77" s="9" t="s">
        <v>1033</v>
      </c>
      <c r="I77" s="9"/>
      <c r="J77" s="22"/>
      <c r="K77" s="22"/>
      <c r="L77" s="10"/>
      <c r="M77" s="18"/>
      <c r="N77" s="8"/>
      <c r="O77" s="11"/>
      <c r="P77" s="10"/>
      <c r="Q77" s="8"/>
      <c r="R77" s="8"/>
      <c r="S77" s="9"/>
      <c r="T77" s="8"/>
      <c r="U77" s="8"/>
      <c r="V77" s="8"/>
      <c r="W77" s="8"/>
      <c r="X77" s="11"/>
      <c r="Y77" s="8"/>
      <c r="Z77" s="8"/>
      <c r="AA77" s="9"/>
    </row>
    <row r="78" spans="1:27" ht="57.95" customHeight="1">
      <c r="A78" s="8" t="s">
        <v>908</v>
      </c>
      <c r="B78" s="8" t="s">
        <v>265</v>
      </c>
      <c r="C78" s="8" t="str">
        <f>IF(B78="","",IFERROR(INDEX(SakesV5[銘柄],MATCH(B78,SakesV5[酒款ID],0)),"酒款ID未找到"))</f>
        <v>甍</v>
      </c>
      <c r="D78" s="8" t="str">
        <f>IF(B78="","",IFERROR(INDEX(SakesV5[酒款],MATCH(B78,SakesV5[酒款ID],0)),"酒款ID未找到"))</f>
        <v>金鉾 荒走</v>
      </c>
      <c r="E78" s="8" t="s">
        <v>902</v>
      </c>
      <c r="F78" s="8" t="s">
        <v>779</v>
      </c>
      <c r="G78" s="8" t="s">
        <v>786</v>
      </c>
      <c r="H78" s="9" t="s">
        <v>1033</v>
      </c>
      <c r="I78" s="9"/>
      <c r="J78" s="22"/>
      <c r="K78" s="22"/>
      <c r="L78" s="10"/>
      <c r="M78" s="18"/>
      <c r="N78" s="8"/>
      <c r="O78" s="11"/>
      <c r="P78" s="10"/>
      <c r="Q78" s="8"/>
      <c r="R78" s="8"/>
      <c r="S78" s="9"/>
      <c r="T78" s="8"/>
      <c r="U78" s="8"/>
      <c r="V78" s="8"/>
      <c r="W78" s="8"/>
      <c r="X78" s="11"/>
      <c r="Y78" s="8"/>
      <c r="Z78" s="8"/>
      <c r="AA78" s="9"/>
    </row>
    <row r="79" spans="1:27" ht="57.95" customHeight="1">
      <c r="A79" s="8" t="s">
        <v>909</v>
      </c>
      <c r="B79" s="8" t="s">
        <v>267</v>
      </c>
      <c r="C79" s="8" t="str">
        <f>IF(B79="","",IFERROR(INDEX(SakesV5[銘柄],MATCH(B79,SakesV5[酒款ID],0)),"酒款ID未找到"))</f>
        <v>文佳人</v>
      </c>
      <c r="D79" s="8" t="str">
        <f>IF(B79="","",IFERROR(INDEX(SakesV5[酒款],MATCH(B79,SakesV5[酒款ID],0)),"酒款ID未找到"))</f>
        <v>純米酒</v>
      </c>
      <c r="E79" s="8" t="s">
        <v>910</v>
      </c>
      <c r="F79" s="8" t="s">
        <v>779</v>
      </c>
      <c r="G79" s="8" t="s">
        <v>794</v>
      </c>
      <c r="H79" s="9" t="s">
        <v>1215</v>
      </c>
      <c r="I79" s="9"/>
      <c r="J79" s="22"/>
      <c r="K79" s="22"/>
      <c r="L79" s="10"/>
      <c r="M79" s="18"/>
      <c r="N79" s="9" t="s">
        <v>1215</v>
      </c>
      <c r="O79" s="11"/>
      <c r="P79" s="10"/>
      <c r="Q79" s="8" t="s">
        <v>787</v>
      </c>
      <c r="R79" s="8" t="s">
        <v>800</v>
      </c>
      <c r="S79" s="15" t="s">
        <v>1200</v>
      </c>
      <c r="T79" s="8"/>
      <c r="U79" s="8"/>
      <c r="V79" s="8"/>
      <c r="W79" s="8"/>
      <c r="X79" s="11"/>
      <c r="Y79" s="8"/>
      <c r="Z79" s="8"/>
      <c r="AA79" s="9"/>
    </row>
    <row r="80" spans="1:27" ht="57.95" customHeight="1">
      <c r="A80" s="8" t="s">
        <v>911</v>
      </c>
      <c r="B80" s="8" t="s">
        <v>271</v>
      </c>
      <c r="C80" s="8" t="str">
        <f>IF(B80="","",IFERROR(INDEX(SakesV5[銘柄],MATCH(B80,SakesV5[酒款ID],0)),"酒款ID未找到"))</f>
        <v>武の井</v>
      </c>
      <c r="D80" s="8" t="str">
        <f>IF(B80="","",IFERROR(INDEX(SakesV5[酒款],MATCH(B80,SakesV5[酒款ID],0)),"酒款ID未找到"))</f>
        <v>STARGAZER 純米吟醸 生原酒</v>
      </c>
      <c r="E80" s="8" t="s">
        <v>910</v>
      </c>
      <c r="F80" s="8" t="s">
        <v>779</v>
      </c>
      <c r="G80" s="8" t="s">
        <v>780</v>
      </c>
      <c r="H80" s="52" t="s">
        <v>1191</v>
      </c>
      <c r="I80" s="9"/>
      <c r="J80" s="22"/>
      <c r="K80" s="22"/>
      <c r="L80" s="10"/>
      <c r="M80" s="18"/>
      <c r="N80" s="8" t="s">
        <v>1190</v>
      </c>
      <c r="O80" s="11"/>
      <c r="P80" s="10"/>
      <c r="Q80" s="8" t="s">
        <v>787</v>
      </c>
      <c r="R80" s="8" t="s">
        <v>800</v>
      </c>
      <c r="S80" s="15" t="s">
        <v>1200</v>
      </c>
      <c r="T80" s="8"/>
      <c r="U80" s="8"/>
      <c r="V80" s="8"/>
      <c r="W80" s="8"/>
      <c r="X80" s="11"/>
      <c r="Y80" s="8"/>
      <c r="Z80" s="8"/>
      <c r="AA80" s="9"/>
    </row>
    <row r="81" spans="1:27" ht="57.95" customHeight="1">
      <c r="A81" s="8" t="s">
        <v>913</v>
      </c>
      <c r="B81" s="8" t="s">
        <v>276</v>
      </c>
      <c r="C81" s="8" t="str">
        <f>IF(B81="","",IFERROR(INDEX(SakesV5[銘柄],MATCH(B81,SakesV5[酒款ID],0)),"酒款ID未找到"))</f>
        <v>吾有事</v>
      </c>
      <c r="D81" s="8" t="str">
        <f>IF(B81="","",IFERROR(INDEX(SakesV5[酒款],MATCH(B81,SakesV5[酒款ID],0)),"酒款ID未找到"))</f>
        <v>尖銳辛口 純米大吟釀</v>
      </c>
      <c r="E81" s="8" t="s">
        <v>910</v>
      </c>
      <c r="F81" s="8" t="s">
        <v>779</v>
      </c>
      <c r="G81" s="8" t="s">
        <v>780</v>
      </c>
      <c r="H81" s="52" t="s">
        <v>1191</v>
      </c>
      <c r="I81" s="9"/>
      <c r="J81" s="22"/>
      <c r="K81" s="22"/>
      <c r="L81" s="10"/>
      <c r="M81" s="18"/>
      <c r="N81" s="27" t="s">
        <v>912</v>
      </c>
      <c r="O81" s="11"/>
      <c r="P81" s="10"/>
      <c r="Q81" s="8" t="s">
        <v>787</v>
      </c>
      <c r="R81" s="8" t="s">
        <v>800</v>
      </c>
      <c r="S81" s="15" t="s">
        <v>1200</v>
      </c>
      <c r="T81" s="8"/>
      <c r="U81" s="8"/>
      <c r="V81" s="8"/>
      <c r="W81" s="8"/>
      <c r="X81" s="11"/>
      <c r="Y81" s="8"/>
      <c r="Z81" s="8"/>
      <c r="AA81" s="9"/>
    </row>
    <row r="82" spans="1:27" ht="57.95" customHeight="1">
      <c r="A82" s="8" t="s">
        <v>914</v>
      </c>
      <c r="B82" s="8" t="s">
        <v>280</v>
      </c>
      <c r="C82" s="8" t="str">
        <f>IF(B82="","",IFERROR(INDEX(SakesV5[銘柄],MATCH(B82,SakesV5[酒款ID],0)),"酒款ID未找到"))</f>
        <v>NEW KYOTO.JP</v>
      </c>
      <c r="D82" s="8" t="str">
        <f>IF(B82="","",IFERROR(INDEX(SakesV5[酒款],MATCH(B82,SakesV5[酒款ID],0)),"酒款ID未找到"))</f>
        <v>白綠</v>
      </c>
      <c r="E82" s="8" t="s">
        <v>910</v>
      </c>
      <c r="F82" s="8" t="s">
        <v>779</v>
      </c>
      <c r="G82" s="8" t="s">
        <v>780</v>
      </c>
      <c r="H82" s="52" t="s">
        <v>1191</v>
      </c>
      <c r="I82" s="9"/>
      <c r="J82" s="22"/>
      <c r="K82" s="22"/>
      <c r="L82" s="10"/>
      <c r="M82" s="18"/>
      <c r="N82" s="27" t="s">
        <v>912</v>
      </c>
      <c r="O82" s="11"/>
      <c r="P82" s="10"/>
      <c r="Q82" s="8" t="s">
        <v>787</v>
      </c>
      <c r="R82" s="8" t="s">
        <v>800</v>
      </c>
      <c r="S82" s="15" t="s">
        <v>1200</v>
      </c>
      <c r="T82" s="8"/>
      <c r="U82" s="8"/>
      <c r="V82" s="8"/>
      <c r="W82" s="8"/>
      <c r="X82" s="11"/>
      <c r="Y82" s="8"/>
      <c r="Z82" s="8"/>
      <c r="AA82" s="9"/>
    </row>
    <row r="83" spans="1:27" ht="57.95" customHeight="1">
      <c r="A83" s="8" t="s">
        <v>915</v>
      </c>
      <c r="B83" s="8" t="s">
        <v>285</v>
      </c>
      <c r="C83" s="8" t="str">
        <f>IF(B83="","",IFERROR(INDEX(SakesV5[銘柄],MATCH(B83,SakesV5[酒款ID],0)),"酒款ID未找到"))</f>
        <v>常山</v>
      </c>
      <c r="D83" s="8" t="str">
        <f>IF(B83="","",IFERROR(INDEX(SakesV5[酒款],MATCH(B83,SakesV5[酒款ID],0)),"酒款ID未找到"))</f>
        <v>純米大吟醸 荒磯 ARAISO 直汲生</v>
      </c>
      <c r="E83" s="8" t="s">
        <v>910</v>
      </c>
      <c r="F83" s="8" t="s">
        <v>779</v>
      </c>
      <c r="G83" s="8" t="s">
        <v>780</v>
      </c>
      <c r="H83" s="52" t="s">
        <v>1191</v>
      </c>
      <c r="I83" s="9"/>
      <c r="J83" s="22"/>
      <c r="K83" s="22"/>
      <c r="L83" s="10"/>
      <c r="M83" s="18"/>
      <c r="N83" s="27" t="s">
        <v>912</v>
      </c>
      <c r="O83" s="11"/>
      <c r="P83" s="10"/>
      <c r="Q83" s="8" t="s">
        <v>787</v>
      </c>
      <c r="R83" s="8" t="s">
        <v>800</v>
      </c>
      <c r="S83" s="15" t="s">
        <v>1200</v>
      </c>
      <c r="T83" s="8"/>
      <c r="U83" s="8"/>
      <c r="V83" s="8"/>
      <c r="W83" s="8"/>
      <c r="X83" s="11"/>
      <c r="Y83" s="8"/>
      <c r="Z83" s="8"/>
      <c r="AA83" s="9"/>
    </row>
    <row r="84" spans="1:27" ht="57.95" customHeight="1">
      <c r="A84" s="8" t="s">
        <v>916</v>
      </c>
      <c r="B84" s="8" t="s">
        <v>289</v>
      </c>
      <c r="C84" s="8" t="str">
        <f>IF(B84="","",IFERROR(INDEX(SakesV5[銘柄],MATCH(B84,SakesV5[酒款ID],0)),"酒款ID未找到"))</f>
        <v>常山</v>
      </c>
      <c r="D84" s="8" t="str">
        <f>IF(B84="","",IFERROR(INDEX(SakesV5[酒款],MATCH(B84,SakesV5[酒款ID],0)),"酒款ID未找到"))</f>
        <v>玄達 〜GENTATSU〜 純米吟釀</v>
      </c>
      <c r="E84" s="8"/>
      <c r="F84" s="8"/>
      <c r="G84" s="8"/>
      <c r="H84" s="9"/>
      <c r="I84" s="9"/>
      <c r="J84" s="22"/>
      <c r="K84" s="22"/>
      <c r="L84" s="10"/>
      <c r="M84" s="18"/>
      <c r="N84" s="27" t="s">
        <v>917</v>
      </c>
      <c r="O84" s="11"/>
      <c r="P84" s="10"/>
      <c r="Q84" s="8"/>
      <c r="R84" s="8"/>
      <c r="S84" s="9"/>
      <c r="T84" s="8"/>
      <c r="U84" s="8"/>
      <c r="V84" s="8"/>
      <c r="W84" s="8"/>
      <c r="X84" s="11"/>
      <c r="Y84" s="8"/>
      <c r="Z84" s="8"/>
      <c r="AA84" s="9"/>
    </row>
    <row r="85" spans="1:27" ht="57.95" customHeight="1">
      <c r="A85" s="8" t="s">
        <v>918</v>
      </c>
      <c r="B85" s="8" t="s">
        <v>291</v>
      </c>
      <c r="C85" s="8" t="str">
        <f>IF(B85="","",IFERROR(INDEX(SakesV5[銘柄],MATCH(B85,SakesV5[酒款ID],0)),"酒款ID未找到"))</f>
        <v>雪之茅舍</v>
      </c>
      <c r="D85" s="8" t="str">
        <f>IF(B85="","",IFERROR(INDEX(SakesV5[酒款],MATCH(B85,SakesV5[酒款ID],0)),"酒款ID未找到"))</f>
        <v>秘傳山廢 純米吟釀</v>
      </c>
      <c r="E85" s="8" t="s">
        <v>910</v>
      </c>
      <c r="F85" s="8" t="s">
        <v>779</v>
      </c>
      <c r="G85" s="8" t="s">
        <v>780</v>
      </c>
      <c r="H85" s="53" t="s">
        <v>1191</v>
      </c>
      <c r="I85" s="9"/>
      <c r="J85" s="22"/>
      <c r="K85" s="22"/>
      <c r="L85" s="10"/>
      <c r="M85" s="18"/>
      <c r="N85" s="27" t="s">
        <v>912</v>
      </c>
      <c r="O85" s="11"/>
      <c r="P85" s="10"/>
      <c r="Q85" s="8" t="s">
        <v>787</v>
      </c>
      <c r="R85" s="8" t="s">
        <v>800</v>
      </c>
      <c r="S85" s="15" t="s">
        <v>1200</v>
      </c>
      <c r="T85" s="8"/>
      <c r="U85" s="8"/>
      <c r="V85" s="8"/>
      <c r="W85" s="8"/>
      <c r="X85" s="11"/>
      <c r="Y85" s="8"/>
      <c r="Z85" s="8"/>
      <c r="AA85" s="9"/>
    </row>
    <row r="86" spans="1:27" ht="57.95" customHeight="1">
      <c r="A86" s="8" t="s">
        <v>919</v>
      </c>
      <c r="B86" s="8" t="s">
        <v>296</v>
      </c>
      <c r="C86" s="8" t="str">
        <f>IF(B86="","",IFERROR(INDEX(SakesV5[銘柄],MATCH(B86,SakesV5[酒款ID],0)),"酒款ID未找到"))</f>
        <v>黃金澤</v>
      </c>
      <c r="D86" s="8" t="str">
        <f>IF(B86="","",IFERROR(INDEX(SakesV5[酒款],MATCH(B86,SakesV5[酒款ID],0)),"酒款ID未找到"))</f>
        <v>純米吟釀 雄町</v>
      </c>
      <c r="E86" s="8" t="s">
        <v>910</v>
      </c>
      <c r="F86" s="8" t="s">
        <v>779</v>
      </c>
      <c r="G86" s="8" t="s">
        <v>780</v>
      </c>
      <c r="H86" s="53" t="s">
        <v>1191</v>
      </c>
      <c r="I86" s="9"/>
      <c r="J86" s="22"/>
      <c r="K86" s="22"/>
      <c r="L86" s="10"/>
      <c r="M86" s="18"/>
      <c r="N86" s="27" t="s">
        <v>912</v>
      </c>
      <c r="O86" s="11"/>
      <c r="P86" s="10"/>
      <c r="Q86" s="8" t="s">
        <v>787</v>
      </c>
      <c r="R86" s="8" t="s">
        <v>800</v>
      </c>
      <c r="S86" s="15" t="s">
        <v>1200</v>
      </c>
      <c r="T86" s="8"/>
      <c r="U86" s="8"/>
      <c r="V86" s="8"/>
      <c r="W86" s="8"/>
      <c r="X86" s="11"/>
      <c r="Y86" s="8"/>
      <c r="Z86" s="8"/>
      <c r="AA86" s="9"/>
    </row>
    <row r="87" spans="1:27" ht="57.95" customHeight="1">
      <c r="A87" s="8" t="s">
        <v>920</v>
      </c>
      <c r="B87" s="8" t="s">
        <v>300</v>
      </c>
      <c r="C87" s="8" t="str">
        <f>IF(B87="","",IFERROR(INDEX(SakesV5[銘柄],MATCH(B87,SakesV5[酒款ID],0)),"酒款ID未找到"))</f>
        <v>彗</v>
      </c>
      <c r="D87" s="8" t="str">
        <f>IF(B87="","",IFERROR(INDEX(SakesV5[酒款],MATCH(B87,SakesV5[酒款ID],0)),"酒款ID未找到"))</f>
        <v>SINGER BREWSTER 純米雄町</v>
      </c>
      <c r="E87" s="8" t="s">
        <v>910</v>
      </c>
      <c r="F87" s="8" t="s">
        <v>779</v>
      </c>
      <c r="G87" s="8" t="s">
        <v>780</v>
      </c>
      <c r="H87" s="53" t="s">
        <v>1191</v>
      </c>
      <c r="I87" s="9"/>
      <c r="J87" s="22"/>
      <c r="K87" s="22"/>
      <c r="L87" s="10"/>
      <c r="M87" s="18"/>
      <c r="N87" s="27" t="s">
        <v>912</v>
      </c>
      <c r="O87" s="11"/>
      <c r="P87" s="10"/>
      <c r="Q87" s="8" t="s">
        <v>787</v>
      </c>
      <c r="R87" s="8" t="s">
        <v>800</v>
      </c>
      <c r="S87" s="15" t="s">
        <v>1200</v>
      </c>
      <c r="T87" s="8"/>
      <c r="U87" s="8"/>
      <c r="V87" s="8"/>
      <c r="W87" s="8"/>
      <c r="X87" s="11"/>
      <c r="Y87" s="8"/>
      <c r="Z87" s="8"/>
      <c r="AA87" s="9"/>
    </row>
    <row r="88" spans="1:27" ht="57.95" customHeight="1">
      <c r="A88" s="8" t="s">
        <v>921</v>
      </c>
      <c r="B88" s="8" t="s">
        <v>304</v>
      </c>
      <c r="C88" s="8" t="str">
        <f>IF(B88="","",IFERROR(INDEX(SakesV5[銘柄],MATCH(B88,SakesV5[酒款ID],0)),"酒款ID未找到"))</f>
        <v>日高見</v>
      </c>
      <c r="D88" s="8" t="str">
        <f>IF(B88="","",IFERROR(INDEX(SakesV5[酒款],MATCH(B88,SakesV5[酒款ID],0)),"酒款ID未找到"))</f>
        <v>初しぼりかすみ酒 ⽣酒</v>
      </c>
      <c r="E88" s="8" t="s">
        <v>910</v>
      </c>
      <c r="F88" s="8" t="s">
        <v>779</v>
      </c>
      <c r="G88" s="8" t="s">
        <v>780</v>
      </c>
      <c r="H88" s="53" t="s">
        <v>1191</v>
      </c>
      <c r="I88" s="9"/>
      <c r="J88" s="22"/>
      <c r="K88" s="22"/>
      <c r="L88" s="10"/>
      <c r="M88" s="18"/>
      <c r="N88" s="27" t="s">
        <v>912</v>
      </c>
      <c r="O88" s="11"/>
      <c r="P88" s="10"/>
      <c r="Q88" s="8" t="s">
        <v>787</v>
      </c>
      <c r="R88" s="8" t="s">
        <v>800</v>
      </c>
      <c r="S88" s="15" t="s">
        <v>1200</v>
      </c>
      <c r="T88" s="8"/>
      <c r="U88" s="8"/>
      <c r="V88" s="8"/>
      <c r="W88" s="8"/>
      <c r="X88" s="11"/>
      <c r="Y88" s="8"/>
      <c r="Z88" s="8"/>
      <c r="AA88" s="9"/>
    </row>
    <row r="89" spans="1:27" ht="57.95" customHeight="1">
      <c r="A89" s="8" t="s">
        <v>922</v>
      </c>
      <c r="B89" s="8" t="s">
        <v>308</v>
      </c>
      <c r="C89" s="8" t="str">
        <f>IF(B89="","",IFERROR(INDEX(SakesV5[銘柄],MATCH(B89,SakesV5[酒款ID],0)),"酒款ID未找到"))</f>
        <v>會津中將</v>
      </c>
      <c r="D89" s="8" t="str">
        <f>IF(B89="","",IFERROR(INDEX(SakesV5[酒款],MATCH(B89,SakesV5[酒款ID],0)),"酒款ID未找到"))</f>
        <v>純米吟釀 會津產山田錦</v>
      </c>
      <c r="E89" s="8" t="s">
        <v>910</v>
      </c>
      <c r="F89" s="8" t="s">
        <v>779</v>
      </c>
      <c r="G89" s="8" t="s">
        <v>780</v>
      </c>
      <c r="H89" s="53" t="s">
        <v>1191</v>
      </c>
      <c r="I89" s="9"/>
      <c r="J89" s="22"/>
      <c r="K89" s="22"/>
      <c r="L89" s="10"/>
      <c r="M89" s="18">
        <v>720</v>
      </c>
      <c r="N89" s="27" t="s">
        <v>912</v>
      </c>
      <c r="O89" s="11"/>
      <c r="P89" s="10"/>
      <c r="Q89" s="8" t="s">
        <v>787</v>
      </c>
      <c r="R89" s="8" t="s">
        <v>800</v>
      </c>
      <c r="S89" s="15" t="s">
        <v>1200</v>
      </c>
      <c r="T89" s="8"/>
      <c r="U89" s="8"/>
      <c r="V89" s="8"/>
      <c r="W89" s="8"/>
      <c r="X89" s="11"/>
      <c r="Y89" s="8"/>
      <c r="Z89" s="8"/>
      <c r="AA89" s="9"/>
    </row>
    <row r="90" spans="1:27" ht="57.95" customHeight="1">
      <c r="A90" s="8" t="s">
        <v>923</v>
      </c>
      <c r="B90" s="8" t="s">
        <v>313</v>
      </c>
      <c r="C90" s="8" t="str">
        <f>IF(B90="","",IFERROR(INDEX(SakesV5[銘柄],MATCH(B90,SakesV5[酒款ID],0)),"酒款ID未找到"))</f>
        <v>農口尚彥研究所</v>
      </c>
      <c r="D90" s="8" t="str">
        <f>IF(B90="","",IFERROR(INDEX(SakesV5[酒款],MATCH(B90,SakesV5[酒款ID],0)),"酒款ID未找到"))</f>
        <v>山廢 五百萬石 無濾過生原酒</v>
      </c>
      <c r="E90" s="8" t="s">
        <v>910</v>
      </c>
      <c r="F90" s="8" t="s">
        <v>793</v>
      </c>
      <c r="G90" s="8" t="s">
        <v>780</v>
      </c>
      <c r="H90" s="53" t="s">
        <v>1191</v>
      </c>
      <c r="I90" s="9"/>
      <c r="J90" s="22"/>
      <c r="K90" s="22"/>
      <c r="L90" s="10"/>
      <c r="M90" s="18"/>
      <c r="N90" s="27" t="s">
        <v>912</v>
      </c>
      <c r="O90" s="11"/>
      <c r="P90" s="10"/>
      <c r="Q90" s="8"/>
      <c r="R90" s="8"/>
      <c r="S90" s="9"/>
      <c r="T90" s="8"/>
      <c r="U90" s="8"/>
      <c r="V90" s="8"/>
      <c r="W90" s="8"/>
      <c r="X90" s="11"/>
      <c r="Y90" s="8"/>
      <c r="Z90" s="8"/>
      <c r="AA90" s="9"/>
    </row>
    <row r="91" spans="1:27" ht="57.95" customHeight="1">
      <c r="A91" s="8" t="s">
        <v>924</v>
      </c>
      <c r="B91" s="8" t="s">
        <v>318</v>
      </c>
      <c r="C91" s="8" t="str">
        <f>IF(B91="","",IFERROR(INDEX(SakesV5[銘柄],MATCH(B91,SakesV5[酒款ID],0)),"酒款ID未找到"))</f>
        <v>農口尚彥研究所</v>
      </c>
      <c r="D91" s="8" t="str">
        <f>IF(B91="","",IFERROR(INDEX(SakesV5[酒款],MATCH(B91,SakesV5[酒款ID],0)),"酒款ID未找到"))</f>
        <v>2026夏之生酒 無濾過生原酒</v>
      </c>
      <c r="E91" s="8" t="s">
        <v>925</v>
      </c>
      <c r="F91" s="8" t="s">
        <v>793</v>
      </c>
      <c r="G91" s="8" t="s">
        <v>794</v>
      </c>
      <c r="H91" s="53"/>
      <c r="I91" s="9"/>
      <c r="J91" s="22"/>
      <c r="K91" s="22"/>
      <c r="L91" s="10"/>
      <c r="M91" s="18">
        <v>720</v>
      </c>
      <c r="N91" s="9" t="s">
        <v>1215</v>
      </c>
      <c r="O91" s="11"/>
      <c r="P91" s="10"/>
      <c r="Q91" s="8"/>
      <c r="R91" s="8"/>
      <c r="S91" s="9"/>
      <c r="T91" s="8"/>
      <c r="U91" s="8"/>
      <c r="V91" s="8"/>
      <c r="W91" s="8"/>
      <c r="X91" s="11"/>
      <c r="Y91" s="8"/>
      <c r="Z91" s="8"/>
      <c r="AA91" s="9"/>
    </row>
    <row r="92" spans="1:27" ht="57.95" customHeight="1">
      <c r="A92" s="8" t="s">
        <v>926</v>
      </c>
      <c r="B92" s="8" t="s">
        <v>320</v>
      </c>
      <c r="C92" s="8" t="str">
        <f>IF(B92="","",IFERROR(INDEX(SakesV5[銘柄],MATCH(B92,SakesV5[酒款ID],0)),"酒款ID未找到"))</f>
        <v>ワカエビスプラス</v>
      </c>
      <c r="D92" s="8" t="str">
        <f>IF(B92="","",IFERROR(INDEX(SakesV5[酒款],MATCH(B92,SakesV5[酒款ID],0)),"酒款ID未找到"))</f>
        <v>008 純米吟醸</v>
      </c>
      <c r="E92" s="8" t="s">
        <v>910</v>
      </c>
      <c r="F92" s="8" t="s">
        <v>779</v>
      </c>
      <c r="G92" s="8" t="s">
        <v>780</v>
      </c>
      <c r="H92" s="53" t="s">
        <v>1191</v>
      </c>
      <c r="I92" s="9"/>
      <c r="J92" s="22"/>
      <c r="K92" s="22"/>
      <c r="L92" s="10"/>
      <c r="M92" s="18"/>
      <c r="N92" s="27" t="s">
        <v>912</v>
      </c>
      <c r="O92" s="11"/>
      <c r="P92" s="10"/>
      <c r="Q92" s="8" t="s">
        <v>787</v>
      </c>
      <c r="R92" s="8" t="s">
        <v>800</v>
      </c>
      <c r="S92" s="15" t="s">
        <v>1200</v>
      </c>
      <c r="T92" s="8"/>
      <c r="U92" s="8"/>
      <c r="V92" s="8"/>
      <c r="W92" s="8"/>
      <c r="X92" s="11"/>
      <c r="Y92" s="8"/>
      <c r="Z92" s="8"/>
      <c r="AA92" s="9"/>
    </row>
    <row r="93" spans="1:27" ht="57.95" customHeight="1">
      <c r="A93" s="8" t="s">
        <v>927</v>
      </c>
      <c r="B93" s="8" t="s">
        <v>325</v>
      </c>
      <c r="C93" s="8" t="str">
        <f>IF(B93="","",IFERROR(INDEX(SakesV5[銘柄],MATCH(B93,SakesV5[酒款ID],0)),"酒款ID未找到"))</f>
        <v>山形正宗</v>
      </c>
      <c r="D93" s="8" t="str">
        <f>IF(B93="","",IFERROR(INDEX(SakesV5[酒款],MATCH(B93,SakesV5[酒款ID],0)),"酒款ID未找到"))</f>
        <v>純米吟釀 生霞酒 橫山式</v>
      </c>
      <c r="E93" s="8" t="s">
        <v>910</v>
      </c>
      <c r="F93" s="8" t="s">
        <v>779</v>
      </c>
      <c r="G93" s="8" t="s">
        <v>780</v>
      </c>
      <c r="H93" s="53" t="s">
        <v>1191</v>
      </c>
      <c r="I93" s="9"/>
      <c r="J93" s="22"/>
      <c r="K93" s="22"/>
      <c r="L93" s="10"/>
      <c r="M93" s="18"/>
      <c r="N93" s="27" t="s">
        <v>912</v>
      </c>
      <c r="O93" s="11"/>
      <c r="P93" s="10"/>
      <c r="Q93" s="8" t="s">
        <v>787</v>
      </c>
      <c r="R93" s="8" t="s">
        <v>800</v>
      </c>
      <c r="S93" s="15" t="s">
        <v>1200</v>
      </c>
      <c r="T93" s="8"/>
      <c r="U93" s="8"/>
      <c r="V93" s="8"/>
      <c r="W93" s="8"/>
      <c r="X93" s="11"/>
      <c r="Y93" s="8"/>
      <c r="Z93" s="8"/>
      <c r="AA93" s="9"/>
    </row>
    <row r="94" spans="1:27" ht="57.95" customHeight="1">
      <c r="A94" s="8" t="s">
        <v>928</v>
      </c>
      <c r="B94" s="8" t="s">
        <v>327</v>
      </c>
      <c r="C94" s="8" t="str">
        <f>IF(B94="","",IFERROR(INDEX(SakesV5[銘柄],MATCH(B94,SakesV5[酒款ID],0)),"酒款ID未找到"))</f>
        <v>手取川</v>
      </c>
      <c r="D94" s="8" t="str">
        <f>IF(B94="","",IFERROR(INDEX(SakesV5[酒款],MATCH(B94,SakesV5[酒款ID],0)),"酒款ID未找到"))</f>
        <v>純米 初榨生原酒 (限定)</v>
      </c>
      <c r="E94" s="8" t="s">
        <v>910</v>
      </c>
      <c r="F94" s="8" t="s">
        <v>779</v>
      </c>
      <c r="G94" s="8" t="s">
        <v>780</v>
      </c>
      <c r="H94" s="53" t="s">
        <v>1191</v>
      </c>
      <c r="I94" s="9"/>
      <c r="J94" s="22"/>
      <c r="K94" s="22"/>
      <c r="L94" s="10"/>
      <c r="M94" s="18"/>
      <c r="N94" s="27" t="s">
        <v>912</v>
      </c>
      <c r="O94" s="11"/>
      <c r="P94" s="10"/>
      <c r="Q94" s="8" t="s">
        <v>787</v>
      </c>
      <c r="R94" s="8" t="s">
        <v>800</v>
      </c>
      <c r="S94" s="15" t="s">
        <v>1200</v>
      </c>
      <c r="T94" s="8"/>
      <c r="U94" s="8"/>
      <c r="V94" s="8"/>
      <c r="W94" s="8"/>
      <c r="X94" s="11"/>
      <c r="Y94" s="8"/>
      <c r="Z94" s="8"/>
      <c r="AA94" s="9"/>
    </row>
    <row r="95" spans="1:27" ht="57.95" customHeight="1">
      <c r="A95" s="8" t="s">
        <v>929</v>
      </c>
      <c r="B95" s="8" t="s">
        <v>331</v>
      </c>
      <c r="C95" s="8" t="str">
        <f>IF(B95="","",IFERROR(INDEX(SakesV5[銘柄],MATCH(B95,SakesV5[酒款ID],0)),"酒款ID未找到"))</f>
        <v>田光</v>
      </c>
      <c r="D95" s="8" t="str">
        <f>IF(B95="","",IFERROR(INDEX(SakesV5[酒款],MATCH(B95,SakesV5[酒款ID],0)),"酒款ID未找到"))</f>
        <v>純米吟釀 Malic acid</v>
      </c>
      <c r="E95" s="8" t="s">
        <v>910</v>
      </c>
      <c r="F95" s="8" t="s">
        <v>779</v>
      </c>
      <c r="G95" s="8" t="s">
        <v>780</v>
      </c>
      <c r="H95" s="53" t="s">
        <v>1191</v>
      </c>
      <c r="I95" s="9"/>
      <c r="J95" s="22"/>
      <c r="K95" s="22"/>
      <c r="L95" s="10"/>
      <c r="M95" s="18"/>
      <c r="N95" s="27" t="s">
        <v>912</v>
      </c>
      <c r="O95" s="11"/>
      <c r="P95" s="10"/>
      <c r="Q95" s="8" t="s">
        <v>787</v>
      </c>
      <c r="R95" s="8" t="s">
        <v>800</v>
      </c>
      <c r="S95" s="15" t="s">
        <v>1200</v>
      </c>
      <c r="T95" s="8"/>
      <c r="U95" s="8"/>
      <c r="V95" s="8"/>
      <c r="W95" s="8"/>
      <c r="X95" s="11"/>
      <c r="Y95" s="8"/>
      <c r="Z95" s="8"/>
      <c r="AA95" s="9"/>
    </row>
    <row r="96" spans="1:27" ht="57.95" customHeight="1">
      <c r="A96" s="8" t="s">
        <v>930</v>
      </c>
      <c r="B96" s="8" t="s">
        <v>343</v>
      </c>
      <c r="C96" s="8" t="str">
        <f>IF(B96="","",IFERROR(INDEX(SakesV5[銘柄],MATCH(B96,SakesV5[酒款ID],0)),"酒款ID未找到"))</f>
        <v>風之森</v>
      </c>
      <c r="D96" s="8" t="str">
        <f>IF(B96="","",IFERROR(INDEX(SakesV5[酒款],MATCH(B96,SakesV5[酒款ID],0)),"酒款ID未找到"))</f>
        <v>純米 愛山807</v>
      </c>
      <c r="E96" s="8"/>
      <c r="F96" s="8" t="s">
        <v>793</v>
      </c>
      <c r="G96" s="49" t="s">
        <v>794</v>
      </c>
      <c r="H96" s="9"/>
      <c r="I96" s="9"/>
      <c r="J96" s="22"/>
      <c r="K96" s="22"/>
      <c r="L96" s="10"/>
      <c r="M96" s="18">
        <v>720</v>
      </c>
      <c r="N96" s="8" t="s">
        <v>849</v>
      </c>
      <c r="O96" s="11"/>
      <c r="P96" s="10"/>
      <c r="Q96" s="8"/>
      <c r="R96" s="8"/>
      <c r="S96" s="9"/>
      <c r="T96" s="8"/>
      <c r="U96" s="8"/>
      <c r="V96" s="8"/>
      <c r="W96" s="8"/>
      <c r="X96" s="11"/>
      <c r="Y96" s="8"/>
      <c r="Z96" s="8"/>
      <c r="AA96" s="9"/>
    </row>
    <row r="97" spans="1:27" ht="57.95" customHeight="1">
      <c r="A97" s="8" t="s">
        <v>931</v>
      </c>
      <c r="B97" s="8" t="s">
        <v>345</v>
      </c>
      <c r="C97" s="8" t="str">
        <f>IF(B97="","",IFERROR(INDEX(SakesV5[銘柄],MATCH(B97,SakesV5[酒款ID],0)),"酒款ID未找到"))</f>
        <v>信州龜齡</v>
      </c>
      <c r="D97" s="8" t="str">
        <f>IF(B97="","",IFERROR(INDEX(SakesV5[酒款],MATCH(B97,SakesV5[酒款ID],0)),"酒款ID未找到"))</f>
        <v>Green Label</v>
      </c>
      <c r="E97" s="8" t="s">
        <v>910</v>
      </c>
      <c r="F97" s="8" t="s">
        <v>779</v>
      </c>
      <c r="G97" s="8" t="s">
        <v>794</v>
      </c>
      <c r="H97" s="9"/>
      <c r="I97" s="9"/>
      <c r="J97" s="22"/>
      <c r="K97" s="22"/>
      <c r="L97" s="10"/>
      <c r="M97" s="18"/>
      <c r="N97" s="27" t="s">
        <v>912</v>
      </c>
      <c r="O97" s="11"/>
      <c r="P97" s="10"/>
      <c r="Q97" s="8"/>
      <c r="R97" s="8"/>
      <c r="S97" s="9"/>
      <c r="T97" s="8"/>
      <c r="U97" s="8"/>
      <c r="V97" s="8"/>
      <c r="W97" s="8"/>
      <c r="X97" s="11"/>
      <c r="Y97" s="8"/>
      <c r="Z97" s="8"/>
      <c r="AA97" s="9"/>
    </row>
    <row r="98" spans="1:27" ht="57.95" customHeight="1">
      <c r="A98" s="8" t="s">
        <v>932</v>
      </c>
      <c r="B98" s="8" t="s">
        <v>349</v>
      </c>
      <c r="C98" s="8" t="str">
        <f>IF(B98="","",IFERROR(INDEX(SakesV5[銘柄],MATCH(B98,SakesV5[酒款ID],0)),"酒款ID未找到"))</f>
        <v>信州龜齡</v>
      </c>
      <c r="D98" s="8" t="str">
        <f>IF(B98="","",IFERROR(INDEX(SakesV5[酒款],MATCH(B98,SakesV5[酒款ID],0)),"酒款ID未找到"))</f>
        <v>蔵元限定 ひとごこち</v>
      </c>
      <c r="E98" s="8"/>
      <c r="F98" s="8" t="s">
        <v>779</v>
      </c>
      <c r="G98" s="8" t="s">
        <v>794</v>
      </c>
      <c r="H98" s="9"/>
      <c r="I98" s="9"/>
      <c r="J98" s="22"/>
      <c r="K98" s="22"/>
      <c r="L98" s="10"/>
      <c r="M98" s="18">
        <v>720</v>
      </c>
      <c r="N98" s="9" t="s">
        <v>1215</v>
      </c>
      <c r="O98" s="11"/>
      <c r="P98" s="10"/>
      <c r="Q98" s="8"/>
      <c r="R98" s="8"/>
      <c r="S98" s="9"/>
      <c r="T98" s="8"/>
      <c r="U98" s="8"/>
      <c r="V98" s="8"/>
      <c r="W98" s="8"/>
      <c r="X98" s="11"/>
      <c r="Y98" s="8"/>
      <c r="Z98" s="8"/>
      <c r="AA98" s="9"/>
    </row>
    <row r="99" spans="1:27" ht="57.95" customHeight="1">
      <c r="A99" s="8" t="s">
        <v>933</v>
      </c>
      <c r="B99" s="8" t="s">
        <v>351</v>
      </c>
      <c r="C99" s="8" t="str">
        <f>IF(B99="","",IFERROR(INDEX(SakesV5[銘柄],MATCH(B99,SakesV5[酒款ID],0)),"酒款ID未找到"))</f>
        <v>信州龜齡</v>
      </c>
      <c r="D99" s="8" t="str">
        <f>IF(B99="","",IFERROR(INDEX(SakesV5[酒款],MATCH(B99,SakesV5[酒款ID],0)),"酒款ID未找到"))</f>
        <v>銀龜 美山錦 純米大吟釀</v>
      </c>
      <c r="E99" s="8" t="s">
        <v>910</v>
      </c>
      <c r="F99" s="8" t="s">
        <v>779</v>
      </c>
      <c r="G99" s="8" t="s">
        <v>794</v>
      </c>
      <c r="H99" s="9"/>
      <c r="I99" s="9"/>
      <c r="J99" s="22"/>
      <c r="K99" s="22"/>
      <c r="L99" s="10"/>
      <c r="M99" s="18"/>
      <c r="N99" s="27" t="s">
        <v>912</v>
      </c>
      <c r="O99" s="11"/>
      <c r="P99" s="10"/>
      <c r="Q99" s="8"/>
      <c r="R99" s="8"/>
      <c r="S99" s="9"/>
      <c r="T99" s="8"/>
      <c r="U99" s="8"/>
      <c r="V99" s="8"/>
      <c r="W99" s="8"/>
      <c r="X99" s="11"/>
      <c r="Y99" s="8"/>
      <c r="Z99" s="8"/>
      <c r="AA99" s="9"/>
    </row>
    <row r="100" spans="1:27" ht="57.95" customHeight="1">
      <c r="A100" s="8" t="s">
        <v>934</v>
      </c>
      <c r="B100" s="8" t="s">
        <v>353</v>
      </c>
      <c r="C100" s="8" t="str">
        <f>IF(B100="","",IFERROR(INDEX(SakesV5[銘柄],MATCH(B100,SakesV5[酒款ID],0)),"酒款ID未找到"))</f>
        <v>信州龜齡</v>
      </c>
      <c r="D100" s="8" t="str">
        <f>IF(B100="","",IFERROR(INDEX(SakesV5[酒款],MATCH(B100,SakesV5[酒款ID],0)),"酒款ID未找到"))</f>
        <v>金龜 金紋錦 純米大吟釀 39</v>
      </c>
      <c r="E100" s="8" t="s">
        <v>935</v>
      </c>
      <c r="F100" s="8" t="s">
        <v>793</v>
      </c>
      <c r="G100" s="8" t="s">
        <v>794</v>
      </c>
      <c r="H100" s="9"/>
      <c r="I100" s="9"/>
      <c r="J100" s="22"/>
      <c r="K100" s="22"/>
      <c r="L100" s="10"/>
      <c r="M100" s="18">
        <v>1800</v>
      </c>
      <c r="N100" s="17" t="s">
        <v>1179</v>
      </c>
      <c r="O100" s="11"/>
      <c r="P100" s="10"/>
      <c r="Q100" s="8"/>
      <c r="R100" s="8"/>
      <c r="S100" s="9"/>
      <c r="T100" s="8"/>
      <c r="U100" s="8"/>
      <c r="V100" s="8"/>
      <c r="W100" s="8"/>
      <c r="X100" s="11"/>
      <c r="Y100" s="8"/>
      <c r="Z100" s="8"/>
      <c r="AA100" s="9"/>
    </row>
    <row r="101" spans="1:27" ht="57.95" customHeight="1">
      <c r="A101" s="8" t="s">
        <v>936</v>
      </c>
      <c r="B101" s="8" t="s">
        <v>355</v>
      </c>
      <c r="C101" s="8" t="str">
        <f>IF(B101="","",IFERROR(INDEX(SakesV5[銘柄],MATCH(B101,SakesV5[酒款ID],0)),"酒款ID未找到"))</f>
        <v>交酒 花風</v>
      </c>
      <c r="D101" s="8" t="str">
        <f>IF(B101="","",IFERROR(INDEX(SakesV5[酒款],MATCH(B101,SakesV5[酒款ID],0)),"酒款ID未找到"))</f>
        <v>寵深花風</v>
      </c>
      <c r="E101" s="8" t="s">
        <v>902</v>
      </c>
      <c r="F101" s="8" t="s">
        <v>793</v>
      </c>
      <c r="G101" s="8" t="s">
        <v>794</v>
      </c>
      <c r="H101" s="9"/>
      <c r="I101" s="9"/>
      <c r="J101" s="22"/>
      <c r="K101" s="22"/>
      <c r="L101" s="10"/>
      <c r="M101" s="18">
        <v>720</v>
      </c>
      <c r="N101" s="9" t="s">
        <v>1215</v>
      </c>
      <c r="O101" s="11"/>
      <c r="P101" s="10"/>
      <c r="Q101" s="8"/>
      <c r="R101" s="8"/>
      <c r="S101" s="9"/>
      <c r="T101" s="8"/>
      <c r="U101" s="8"/>
      <c r="V101" s="8"/>
      <c r="W101" s="8"/>
      <c r="X101" s="11"/>
      <c r="Y101" s="8"/>
      <c r="Z101" s="8"/>
      <c r="AA101" s="9"/>
    </row>
    <row r="102" spans="1:27" ht="57.95" customHeight="1">
      <c r="A102" s="8" t="s">
        <v>937</v>
      </c>
      <c r="B102" s="8" t="s">
        <v>359</v>
      </c>
      <c r="C102" s="8" t="str">
        <f>IF(B102="","",IFERROR(INDEX(SakesV5[銘柄],MATCH(B102,SakesV5[酒款ID],0)),"酒款ID未找到"))</f>
        <v>惠信</v>
      </c>
      <c r="D102" s="8" t="str">
        <f>IF(B102="","",IFERROR(INDEX(SakesV5[酒款],MATCH(B102,SakesV5[酒款ID],0)),"酒款ID未找到"))</f>
        <v>越淡麗 無濾過直汲 荒走</v>
      </c>
      <c r="E102" s="8"/>
      <c r="F102" s="8"/>
      <c r="G102" s="8" t="s">
        <v>794</v>
      </c>
      <c r="H102" s="9"/>
      <c r="I102" s="9"/>
      <c r="J102" s="22"/>
      <c r="K102" s="22"/>
      <c r="L102" s="10"/>
      <c r="M102" s="18">
        <v>720</v>
      </c>
      <c r="N102" s="8" t="s">
        <v>849</v>
      </c>
      <c r="O102" s="11"/>
      <c r="P102" s="10"/>
      <c r="Q102" s="8"/>
      <c r="R102" s="8"/>
      <c r="S102" s="9"/>
      <c r="T102" s="8"/>
      <c r="U102" s="8"/>
      <c r="V102" s="8"/>
      <c r="W102" s="8"/>
      <c r="X102" s="11"/>
      <c r="Y102" s="8"/>
      <c r="Z102" s="8"/>
      <c r="AA102" s="9"/>
    </row>
    <row r="103" spans="1:27" ht="57.95" customHeight="1">
      <c r="A103" s="8" t="s">
        <v>938</v>
      </c>
      <c r="B103" s="8" t="s">
        <v>364</v>
      </c>
      <c r="C103" s="8" t="str">
        <f>IF(B103="","",IFERROR(INDEX(SakesV5[銘柄],MATCH(B103,SakesV5[酒款ID],0)),"酒款ID未找到"))</f>
        <v>大倉</v>
      </c>
      <c r="D103" s="8" t="str">
        <f>IF(B103="","",IFERROR(INDEX(SakesV5[酒款],MATCH(B103,SakesV5[酒款ID],0)),"酒款ID未找到"))</f>
        <v>山廢特別純米 愛山70 直汲み 無濾過生原酒</v>
      </c>
      <c r="E103" s="8"/>
      <c r="F103" s="8"/>
      <c r="G103" s="8" t="s">
        <v>794</v>
      </c>
      <c r="H103" s="9"/>
      <c r="I103" s="9"/>
      <c r="J103" s="22"/>
      <c r="K103" s="22"/>
      <c r="L103" s="10"/>
      <c r="M103" s="18">
        <v>720</v>
      </c>
      <c r="N103" s="8" t="s">
        <v>849</v>
      </c>
      <c r="O103" s="11"/>
      <c r="P103" s="10"/>
      <c r="Q103" s="8"/>
      <c r="R103" s="8"/>
      <c r="S103" s="9"/>
      <c r="T103" s="8"/>
      <c r="U103" s="8"/>
      <c r="V103" s="8"/>
      <c r="W103" s="8"/>
      <c r="X103" s="11"/>
      <c r="Y103" s="8"/>
      <c r="Z103" s="8"/>
      <c r="AA103" s="9"/>
    </row>
    <row r="104" spans="1:27" ht="57.95" customHeight="1">
      <c r="A104" s="8" t="s">
        <v>939</v>
      </c>
      <c r="B104" s="8" t="s">
        <v>368</v>
      </c>
      <c r="C104" s="8" t="str">
        <f>IF(B104="","",IFERROR(INDEX(SakesV5[銘柄],MATCH(B104,SakesV5[酒款ID],0)),"酒款ID未找到"))</f>
        <v>繁桝</v>
      </c>
      <c r="D104" s="8" t="str">
        <f>IF(B104="","",IFERROR(INDEX(SakesV5[酒款],MATCH(B104,SakesV5[酒款ID],0)),"酒款ID未找到"))</f>
        <v>中汲 純米大吟釀 生酒</v>
      </c>
      <c r="E104" s="8"/>
      <c r="F104" s="8"/>
      <c r="G104" s="8" t="s">
        <v>794</v>
      </c>
      <c r="H104" s="9"/>
      <c r="I104" s="9"/>
      <c r="J104" s="22"/>
      <c r="K104" s="22"/>
      <c r="L104" s="10"/>
      <c r="M104" s="18">
        <v>720</v>
      </c>
      <c r="N104" s="8" t="s">
        <v>849</v>
      </c>
      <c r="O104" s="11"/>
      <c r="P104" s="10"/>
      <c r="Q104" s="8"/>
      <c r="R104" s="8"/>
      <c r="S104" s="9"/>
      <c r="T104" s="8"/>
      <c r="U104" s="8"/>
      <c r="V104" s="8"/>
      <c r="W104" s="8"/>
      <c r="X104" s="11"/>
      <c r="Y104" s="8"/>
      <c r="Z104" s="8"/>
      <c r="AA104" s="9"/>
    </row>
    <row r="105" spans="1:27" ht="57.95" customHeight="1">
      <c r="A105" s="8" t="s">
        <v>940</v>
      </c>
      <c r="B105" s="8" t="s">
        <v>373</v>
      </c>
      <c r="C105" s="8" t="str">
        <f>IF(B105="","",IFERROR(INDEX(SakesV5[銘柄],MATCH(B105,SakesV5[酒款ID],0)),"酒款ID未找到"))</f>
        <v>雨降</v>
      </c>
      <c r="D105" s="8" t="str">
        <f>IF(B105="","",IFERROR(INDEX(SakesV5[酒款],MATCH(B105,SakesV5[酒款ID],0)),"酒款ID未找到"))</f>
        <v>Ringosan 77</v>
      </c>
      <c r="E105" s="8"/>
      <c r="F105" s="8"/>
      <c r="G105" s="8" t="s">
        <v>804</v>
      </c>
      <c r="H105" s="9"/>
      <c r="I105" s="9"/>
      <c r="J105" s="22"/>
      <c r="K105" s="22"/>
      <c r="L105" s="10"/>
      <c r="M105" s="18">
        <v>720</v>
      </c>
      <c r="N105" s="8" t="s">
        <v>1178</v>
      </c>
      <c r="O105" s="11"/>
      <c r="P105" s="10"/>
      <c r="Q105" s="8"/>
      <c r="R105" s="8"/>
      <c r="S105" s="9"/>
      <c r="T105" s="8"/>
      <c r="U105" s="8"/>
      <c r="V105" s="8"/>
      <c r="W105" s="8"/>
      <c r="X105" s="11"/>
      <c r="Y105" s="8"/>
      <c r="Z105" s="8"/>
      <c r="AA105" s="9"/>
    </row>
    <row r="106" spans="1:27" ht="57.95" customHeight="1">
      <c r="A106" s="8" t="s">
        <v>941</v>
      </c>
      <c r="B106" s="8" t="s">
        <v>378</v>
      </c>
      <c r="C106" s="8" t="str">
        <f>IF(B106="","",IFERROR(INDEX(SakesV5[銘柄],MATCH(B106,SakesV5[酒款ID],0)),"酒款ID未找到"))</f>
        <v>雨降</v>
      </c>
      <c r="D106" s="8" t="str">
        <f>IF(B106="","",IFERROR(INDEX(SakesV5[酒款],MATCH(B106,SakesV5[酒款ID],0)),"酒款ID未找到"))</f>
        <v>YAMAHAI</v>
      </c>
      <c r="E106" s="8"/>
      <c r="F106" s="8"/>
      <c r="G106" s="8" t="s">
        <v>804</v>
      </c>
      <c r="H106" s="9"/>
      <c r="I106" s="9"/>
      <c r="J106" s="22"/>
      <c r="K106" s="22"/>
      <c r="L106" s="10"/>
      <c r="M106" s="18">
        <v>720</v>
      </c>
      <c r="N106" s="8" t="s">
        <v>1177</v>
      </c>
      <c r="O106" s="11"/>
      <c r="P106" s="10"/>
      <c r="Q106" s="8"/>
      <c r="R106" s="8"/>
      <c r="S106" s="9"/>
      <c r="T106" s="8"/>
      <c r="U106" s="8"/>
      <c r="V106" s="8"/>
      <c r="W106" s="8"/>
      <c r="X106" s="11"/>
      <c r="Y106" s="8"/>
      <c r="Z106" s="8"/>
      <c r="AA106" s="9"/>
    </row>
    <row r="107" spans="1:27" ht="57.95" customHeight="1">
      <c r="A107" s="8" t="s">
        <v>942</v>
      </c>
      <c r="B107" s="8" t="s">
        <v>379</v>
      </c>
      <c r="C107" s="8" t="str">
        <f>IF(B107="","",IFERROR(INDEX(SakesV5[銘柄],MATCH(B107,SakesV5[酒款ID],0)),"酒款ID未找到"))</f>
        <v>雨降</v>
      </c>
      <c r="D107" s="8" t="str">
        <f>IF(B107="","",IFERROR(INDEX(SakesV5[酒款],MATCH(B107,SakesV5[酒款ID],0)),"酒款ID未找到"))</f>
        <v>MASA</v>
      </c>
      <c r="E107" s="8"/>
      <c r="F107" s="8"/>
      <c r="G107" s="8" t="s">
        <v>804</v>
      </c>
      <c r="H107" s="9"/>
      <c r="I107" s="9"/>
      <c r="J107" s="22"/>
      <c r="K107" s="22"/>
      <c r="L107" s="10"/>
      <c r="M107" s="18">
        <v>720</v>
      </c>
      <c r="N107" s="39" t="s">
        <v>1168</v>
      </c>
      <c r="O107" s="11"/>
      <c r="P107" s="10"/>
      <c r="Q107" s="8"/>
      <c r="R107" s="8"/>
      <c r="S107" s="9"/>
      <c r="T107" s="8"/>
      <c r="U107" s="8"/>
      <c r="V107" s="8"/>
      <c r="W107" s="8"/>
      <c r="X107" s="11"/>
      <c r="Y107" s="8"/>
      <c r="Z107" s="8"/>
      <c r="AA107" s="9"/>
    </row>
    <row r="108" spans="1:27" ht="57.95" customHeight="1">
      <c r="A108" s="8" t="s">
        <v>943</v>
      </c>
      <c r="B108" s="8" t="s">
        <v>382</v>
      </c>
      <c r="C108" s="8" t="str">
        <f>IF(B108="","",IFERROR(INDEX(SakesV5[銘柄],MATCH(B108,SakesV5[酒款ID],0)),"酒款ID未找到"))</f>
        <v>千歲鶴</v>
      </c>
      <c r="D108" s="8" t="str">
        <f>IF(B108="","",IFERROR(INDEX(SakesV5[酒款],MATCH(B108,SakesV5[酒款ID],0)),"酒款ID未找到"))</f>
        <v>純米酒 吟風</v>
      </c>
      <c r="E108" s="8"/>
      <c r="F108" s="8"/>
      <c r="G108" s="8" t="s">
        <v>794</v>
      </c>
      <c r="H108" s="9"/>
      <c r="I108" s="9"/>
      <c r="J108" s="22"/>
      <c r="K108" s="22"/>
      <c r="L108" s="10"/>
      <c r="M108" s="18">
        <v>720</v>
      </c>
      <c r="N108" s="8" t="s">
        <v>944</v>
      </c>
      <c r="O108" s="11"/>
      <c r="P108" s="10"/>
      <c r="Q108" s="8"/>
      <c r="R108" s="8"/>
      <c r="S108" s="9"/>
      <c r="T108" s="8"/>
      <c r="U108" s="8"/>
      <c r="V108" s="8"/>
      <c r="W108" s="8"/>
      <c r="X108" s="11"/>
      <c r="Y108" s="8"/>
      <c r="Z108" s="8"/>
      <c r="AA108" s="9"/>
    </row>
    <row r="109" spans="1:27" ht="57.95" customHeight="1">
      <c r="A109" s="8" t="s">
        <v>945</v>
      </c>
      <c r="B109" s="8" t="s">
        <v>386</v>
      </c>
      <c r="C109" s="8" t="str">
        <f>IF(B109="","",IFERROR(INDEX(SakesV5[銘柄],MATCH(B109,SakesV5[酒款ID],0)),"酒款ID未找到"))</f>
        <v>錦鯉</v>
      </c>
      <c r="D109" s="8" t="str">
        <f>IF(B109="","",IFERROR(INDEX(SakesV5[酒款],MATCH(B109,SakesV5[酒款ID],0)),"酒款ID未找到"))</f>
        <v>丹頂 The RISING SUN</v>
      </c>
      <c r="E109" s="8"/>
      <c r="F109" s="8"/>
      <c r="G109" s="8" t="s">
        <v>794</v>
      </c>
      <c r="H109" s="9"/>
      <c r="I109" s="9"/>
      <c r="J109" s="22"/>
      <c r="K109" s="22"/>
      <c r="L109" s="10"/>
      <c r="M109" s="18">
        <v>720</v>
      </c>
      <c r="N109" s="39" t="s">
        <v>1169</v>
      </c>
      <c r="O109" s="11"/>
      <c r="P109" s="10"/>
      <c r="Q109" s="8"/>
      <c r="R109" s="8"/>
      <c r="S109" s="9"/>
      <c r="T109" s="8"/>
      <c r="U109" s="8"/>
      <c r="V109" s="8"/>
      <c r="W109" s="8"/>
      <c r="X109" s="11"/>
      <c r="Y109" s="8"/>
      <c r="Z109" s="8"/>
      <c r="AA109" s="9"/>
    </row>
    <row r="110" spans="1:27" ht="57.95" customHeight="1">
      <c r="A110" s="8" t="s">
        <v>946</v>
      </c>
      <c r="B110" s="8" t="s">
        <v>391</v>
      </c>
      <c r="C110" s="8" t="str">
        <f>IF(B110="","",IFERROR(INDEX(SakesV5[銘柄],MATCH(B110,SakesV5[酒款ID],0)),"酒款ID未找到"))</f>
        <v>磯自慢</v>
      </c>
      <c r="D110" s="8" t="str">
        <f>IF(B110="","",IFERROR(INDEX(SakesV5[酒款],MATCH(B110,SakesV5[酒款ID],0)),"酒款ID未找到"))</f>
        <v>純米吟釀 桔梗</v>
      </c>
      <c r="E110" s="8"/>
      <c r="F110" s="8"/>
      <c r="G110" s="8" t="s">
        <v>794</v>
      </c>
      <c r="H110" s="9"/>
      <c r="I110" s="9"/>
      <c r="J110" s="22"/>
      <c r="K110" s="22"/>
      <c r="L110" s="10"/>
      <c r="M110" s="18">
        <v>720</v>
      </c>
      <c r="N110" s="8" t="s">
        <v>944</v>
      </c>
      <c r="O110" s="11"/>
      <c r="P110" s="10"/>
      <c r="Q110" s="8"/>
      <c r="R110" s="8"/>
      <c r="S110" s="9"/>
      <c r="T110" s="8"/>
      <c r="U110" s="8"/>
      <c r="V110" s="8"/>
      <c r="W110" s="8"/>
      <c r="X110" s="11"/>
      <c r="Y110" s="8"/>
      <c r="Z110" s="8"/>
      <c r="AA110" s="9"/>
    </row>
    <row r="111" spans="1:27" ht="57.95" customHeight="1">
      <c r="A111" s="8" t="s">
        <v>947</v>
      </c>
      <c r="B111" s="8" t="s">
        <v>396</v>
      </c>
      <c r="C111" s="8" t="str">
        <f>IF(B111="","",IFERROR(INDEX(SakesV5[銘柄],MATCH(B111,SakesV5[酒款ID],0)),"酒款ID未找到"))</f>
        <v>磯自慢</v>
      </c>
      <c r="D111" s="8" t="str">
        <f>IF(B111="","",IFERROR(INDEX(SakesV5[酒款],MATCH(B111,SakesV5[酒款ID],0)),"酒款ID未找到"))</f>
        <v>2023 大吟釀28 Nobilmente</v>
      </c>
      <c r="E111" s="8"/>
      <c r="F111" s="8"/>
      <c r="G111" s="8" t="s">
        <v>794</v>
      </c>
      <c r="H111" s="9"/>
      <c r="I111" s="9"/>
      <c r="J111" s="22"/>
      <c r="K111" s="22"/>
      <c r="L111" s="10"/>
      <c r="M111" s="18"/>
      <c r="N111" s="39" t="s">
        <v>1170</v>
      </c>
      <c r="O111" s="11" t="s">
        <v>1195</v>
      </c>
      <c r="P111" s="10">
        <v>900</v>
      </c>
      <c r="Q111" s="8" t="s">
        <v>787</v>
      </c>
      <c r="R111" s="8" t="s">
        <v>877</v>
      </c>
      <c r="S111" s="9"/>
      <c r="T111" s="8"/>
      <c r="U111" s="8"/>
      <c r="V111" s="8"/>
      <c r="W111" s="8"/>
      <c r="X111" s="11"/>
      <c r="Y111" s="8"/>
      <c r="Z111" s="8"/>
      <c r="AA111" s="9"/>
    </row>
    <row r="112" spans="1:27" ht="57.95" customHeight="1">
      <c r="A112" s="8" t="s">
        <v>948</v>
      </c>
      <c r="B112" s="8" t="s">
        <v>398</v>
      </c>
      <c r="C112" s="8" t="str">
        <f>IF(B112="","",IFERROR(INDEX(SakesV5[銘柄],MATCH(B112,SakesV5[酒款ID],0)),"酒款ID未找到"))</f>
        <v>寫樂</v>
      </c>
      <c r="D112" s="8" t="str">
        <f>IF(B112="","",IFERROR(INDEX(SakesV5[酒款],MATCH(B112,SakesV5[酒款ID],0)),"酒款ID未找到"))</f>
        <v>純米吟釀 生霞酒</v>
      </c>
      <c r="E112" s="8"/>
      <c r="F112" s="8"/>
      <c r="G112" s="8" t="s">
        <v>794</v>
      </c>
      <c r="H112" s="9"/>
      <c r="I112" s="9"/>
      <c r="J112" s="22"/>
      <c r="K112" s="22"/>
      <c r="L112" s="10"/>
      <c r="M112" s="18">
        <v>720</v>
      </c>
      <c r="N112" s="39" t="s">
        <v>1176</v>
      </c>
      <c r="O112" s="11"/>
      <c r="P112" s="10"/>
      <c r="Q112" s="8"/>
      <c r="R112" s="8"/>
      <c r="S112" s="9"/>
      <c r="T112" s="8"/>
      <c r="U112" s="8"/>
      <c r="V112" s="8"/>
      <c r="W112" s="8"/>
      <c r="X112" s="11"/>
      <c r="Y112" s="8"/>
      <c r="Z112" s="8"/>
      <c r="AA112" s="9"/>
    </row>
    <row r="113" spans="1:27" ht="57.95" customHeight="1">
      <c r="A113" s="8" t="s">
        <v>949</v>
      </c>
      <c r="B113" s="8" t="s">
        <v>403</v>
      </c>
      <c r="C113" s="8" t="str">
        <f>IF(B113="","",IFERROR(INDEX(SakesV5[銘柄],MATCH(B113,SakesV5[酒款ID],0)),"酒款ID未找到"))</f>
        <v>金雀</v>
      </c>
      <c r="D113" s="8" t="str">
        <f>IF(B113="","",IFERROR(INDEX(SakesV5[酒款],MATCH(B113,SakesV5[酒款ID],0)),"酒款ID未找到"))</f>
        <v>純米吟釀 初榨</v>
      </c>
      <c r="E113" s="8"/>
      <c r="F113" s="8"/>
      <c r="G113" s="8" t="s">
        <v>794</v>
      </c>
      <c r="H113" s="9"/>
      <c r="I113" s="9"/>
      <c r="J113" s="22"/>
      <c r="K113" s="22"/>
      <c r="L113" s="10"/>
      <c r="M113" s="18">
        <v>720</v>
      </c>
      <c r="N113" s="8" t="s">
        <v>849</v>
      </c>
      <c r="O113" s="11"/>
      <c r="P113" s="10"/>
      <c r="Q113" s="8"/>
      <c r="R113" s="8"/>
      <c r="S113" s="9"/>
      <c r="T113" s="8"/>
      <c r="U113" s="8"/>
      <c r="V113" s="8"/>
      <c r="W113" s="8"/>
      <c r="X113" s="11"/>
      <c r="Y113" s="8"/>
      <c r="Z113" s="8"/>
      <c r="AA113" s="9"/>
    </row>
    <row r="114" spans="1:27" ht="57.95" customHeight="1">
      <c r="A114" s="8" t="s">
        <v>950</v>
      </c>
      <c r="B114" s="8" t="s">
        <v>408</v>
      </c>
      <c r="C114" s="8" t="str">
        <f>IF(B114="","",IFERROR(INDEX(SakesV5[銘柄],MATCH(B114,SakesV5[酒款ID],0)),"酒款ID未找到"))</f>
        <v>荷札酒</v>
      </c>
      <c r="D114" s="8" t="str">
        <f>IF(B114="","",IFERROR(INDEX(SakesV5[酒款],MATCH(B114,SakesV5[酒款ID],0)),"酒款ID未找到"))</f>
        <v>純米大吟釀 for taiwan</v>
      </c>
      <c r="E114" s="8"/>
      <c r="F114" s="8" t="s">
        <v>793</v>
      </c>
      <c r="G114" s="8" t="s">
        <v>794</v>
      </c>
      <c r="H114" s="9"/>
      <c r="I114" s="9"/>
      <c r="J114" s="22"/>
      <c r="K114" s="22"/>
      <c r="L114" s="10"/>
      <c r="M114" s="18">
        <v>720</v>
      </c>
      <c r="N114" s="8" t="s">
        <v>944</v>
      </c>
      <c r="O114" s="11"/>
      <c r="P114" s="10"/>
      <c r="Q114" s="8"/>
      <c r="R114" s="8"/>
      <c r="S114" s="9"/>
      <c r="T114" s="8"/>
      <c r="U114" s="8"/>
      <c r="V114" s="8"/>
      <c r="W114" s="8"/>
      <c r="X114" s="11"/>
      <c r="Y114" s="8"/>
      <c r="Z114" s="8"/>
      <c r="AA114" s="9"/>
    </row>
    <row r="115" spans="1:27" ht="57.95" customHeight="1">
      <c r="A115" s="8" t="s">
        <v>951</v>
      </c>
      <c r="B115" s="8" t="s">
        <v>412</v>
      </c>
      <c r="C115" s="8" t="str">
        <f>IF(B115="","",IFERROR(INDEX(SakesV5[銘柄],MATCH(B115,SakesV5[酒款ID],0)),"酒款ID未找到"))</f>
        <v>荷札酒</v>
      </c>
      <c r="D115" s="8" t="str">
        <f>IF(B115="","",IFERROR(INDEX(SakesV5[酒款],MATCH(B115,SakesV5[酒款ID],0)),"酒款ID未找到"))</f>
        <v>短桿渡船 純米大吟釀</v>
      </c>
      <c r="E115" s="8"/>
      <c r="F115" s="8" t="s">
        <v>779</v>
      </c>
      <c r="G115" s="8" t="s">
        <v>794</v>
      </c>
      <c r="H115" s="9"/>
      <c r="I115" s="9"/>
      <c r="J115" s="22"/>
      <c r="K115" s="22"/>
      <c r="L115" s="10"/>
      <c r="M115" s="18"/>
      <c r="N115" s="9" t="s">
        <v>1215</v>
      </c>
      <c r="O115" s="11"/>
      <c r="P115" s="10"/>
      <c r="Q115" s="8"/>
      <c r="R115" s="8"/>
      <c r="S115" s="9"/>
      <c r="T115" s="8"/>
      <c r="U115" s="8"/>
      <c r="V115" s="8"/>
      <c r="W115" s="8"/>
      <c r="X115" s="11"/>
      <c r="Y115" s="8"/>
      <c r="Z115" s="8"/>
      <c r="AA115" s="9"/>
    </row>
    <row r="116" spans="1:27" ht="57.95" customHeight="1">
      <c r="A116" s="8" t="s">
        <v>952</v>
      </c>
      <c r="B116" s="8" t="s">
        <v>415</v>
      </c>
      <c r="C116" s="8" t="str">
        <f>IF(B116="","",IFERROR(INDEX(SakesV5[銘柄],MATCH(B116,SakesV5[酒款ID],0)),"酒款ID未找到"))</f>
        <v>OCEAN99</v>
      </c>
      <c r="D116" s="53" t="s">
        <v>1194</v>
      </c>
      <c r="E116" s="8" t="s">
        <v>1192</v>
      </c>
      <c r="F116" s="8" t="s">
        <v>793</v>
      </c>
      <c r="G116" s="8" t="s">
        <v>794</v>
      </c>
      <c r="H116" s="47" t="s">
        <v>1173</v>
      </c>
      <c r="I116" s="15" t="s">
        <v>1213</v>
      </c>
      <c r="J116" s="22">
        <v>3.8</v>
      </c>
      <c r="K116" s="22">
        <v>4</v>
      </c>
      <c r="L116" s="10"/>
      <c r="M116" s="18">
        <v>720</v>
      </c>
      <c r="N116" s="8" t="s">
        <v>849</v>
      </c>
      <c r="O116" s="11" t="s">
        <v>1193</v>
      </c>
      <c r="P116" s="10">
        <v>1680</v>
      </c>
      <c r="Q116" s="8" t="s">
        <v>787</v>
      </c>
      <c r="R116" s="8" t="s">
        <v>795</v>
      </c>
      <c r="S116" s="9"/>
      <c r="T116" s="39" t="s">
        <v>1211</v>
      </c>
      <c r="U116" s="39" t="s">
        <v>1212</v>
      </c>
      <c r="V116" s="8"/>
      <c r="W116" s="8"/>
      <c r="X116" s="11"/>
      <c r="Y116" s="8"/>
      <c r="Z116" s="8"/>
      <c r="AA116" s="9"/>
    </row>
    <row r="117" spans="1:27" ht="57.95" customHeight="1">
      <c r="A117" s="8" t="s">
        <v>953</v>
      </c>
      <c r="B117" s="8" t="s">
        <v>417</v>
      </c>
      <c r="C117" s="8" t="str">
        <f>IF(B117="","",IFERROR(INDEX(SakesV5[銘柄],MATCH(B117,SakesV5[酒款ID],0)),"酒款ID未找到"))</f>
        <v>OCEAN99</v>
      </c>
      <c r="D117" s="8" t="str">
        <f>IF(B117="","",IFERROR(INDEX(SakesV5[酒款],MATCH(B117,SakesV5[酒款ID],0)),"酒款ID未找到"))</f>
        <v>青海 純米吟醸 無濾過生原酒</v>
      </c>
      <c r="E117" s="8" t="s">
        <v>1208</v>
      </c>
      <c r="F117" s="8" t="s">
        <v>779</v>
      </c>
      <c r="G117" s="8" t="s">
        <v>794</v>
      </c>
      <c r="H117" s="9" t="s">
        <v>1215</v>
      </c>
      <c r="I117" s="15" t="s">
        <v>1214</v>
      </c>
      <c r="J117" s="22">
        <v>3.8</v>
      </c>
      <c r="K117" s="22">
        <v>4</v>
      </c>
      <c r="L117" s="10"/>
      <c r="M117" s="18">
        <v>720</v>
      </c>
      <c r="N117" s="9" t="s">
        <v>1215</v>
      </c>
      <c r="O117" s="11"/>
      <c r="P117" s="10"/>
      <c r="Q117" s="8"/>
      <c r="R117" s="8"/>
      <c r="S117" s="9"/>
      <c r="T117" s="39" t="s">
        <v>1209</v>
      </c>
      <c r="U117" s="39" t="s">
        <v>1210</v>
      </c>
      <c r="V117" s="8"/>
      <c r="W117" s="8"/>
      <c r="X117" s="11"/>
      <c r="Y117" s="8"/>
      <c r="Z117" s="8"/>
      <c r="AA117" s="9"/>
    </row>
    <row r="118" spans="1:27" ht="57.95" customHeight="1">
      <c r="A118" s="8" t="s">
        <v>954</v>
      </c>
      <c r="B118" s="8" t="s">
        <v>418</v>
      </c>
      <c r="C118" s="8" t="str">
        <f>IF(B118="","",IFERROR(INDEX(SakesV5[銘柄],MATCH(B118,SakesV5[酒款ID],0)),"酒款ID未找到"))</f>
        <v>龍力</v>
      </c>
      <c r="D118" s="8" t="str">
        <f>IF(B118="","",IFERROR(INDEX(SakesV5[酒款],MATCH(B118,SakesV5[酒款ID],0)),"酒款ID未找到"))</f>
        <v>特別純米 播州辛口 秋季限定</v>
      </c>
      <c r="E118" s="8"/>
      <c r="F118" s="8" t="s">
        <v>793</v>
      </c>
      <c r="G118" s="8" t="s">
        <v>794</v>
      </c>
      <c r="H118" s="9"/>
      <c r="I118" s="9"/>
      <c r="J118" s="22"/>
      <c r="K118" s="22"/>
      <c r="L118" s="10"/>
      <c r="M118" s="18">
        <v>720</v>
      </c>
      <c r="N118" s="46" t="s">
        <v>1172</v>
      </c>
      <c r="O118" s="11"/>
      <c r="P118" s="10"/>
      <c r="Q118" s="8"/>
      <c r="R118" s="8"/>
      <c r="S118" s="9"/>
      <c r="T118" s="8"/>
      <c r="U118" s="8"/>
      <c r="V118" s="8"/>
      <c r="W118" s="8"/>
      <c r="X118" s="11"/>
      <c r="Y118" s="8"/>
      <c r="Z118" s="8"/>
      <c r="AA118" s="9"/>
    </row>
    <row r="119" spans="1:27" ht="57.95" customHeight="1">
      <c r="A119" s="8" t="s">
        <v>955</v>
      </c>
      <c r="B119" s="8" t="s">
        <v>423</v>
      </c>
      <c r="C119" s="8" t="str">
        <f>IF(B119="","",IFERROR(INDEX(SakesV5[銘柄],MATCH(B119,SakesV5[酒款ID],0)),"酒款ID未找到"))</f>
        <v>龍力</v>
      </c>
      <c r="D119" s="8" t="str">
        <f>IF(B119="","",IFERROR(INDEX(SakesV5[酒款],MATCH(B119,SakesV5[酒款ID],0)),"酒款ID未找到"))</f>
        <v>特別純米酒 山田錦 生原酒</v>
      </c>
      <c r="E119" s="8"/>
      <c r="F119" s="8" t="s">
        <v>793</v>
      </c>
      <c r="G119" s="8" t="s">
        <v>794</v>
      </c>
      <c r="H119" s="9"/>
      <c r="I119" s="9"/>
      <c r="J119" s="22"/>
      <c r="K119" s="22"/>
      <c r="L119" s="10"/>
      <c r="M119" s="18">
        <v>720</v>
      </c>
      <c r="N119" s="46" t="s">
        <v>1186</v>
      </c>
      <c r="O119" s="11"/>
      <c r="P119" s="10"/>
      <c r="Q119" s="8"/>
      <c r="R119" s="8"/>
      <c r="S119" s="9"/>
      <c r="T119" s="8"/>
      <c r="U119" s="8"/>
      <c r="V119" s="8"/>
      <c r="W119" s="8"/>
      <c r="X119" s="11"/>
      <c r="Y119" s="8"/>
      <c r="Z119" s="8"/>
      <c r="AA119" s="9"/>
    </row>
    <row r="120" spans="1:27" ht="57.95" customHeight="1">
      <c r="A120" s="8" t="s">
        <v>956</v>
      </c>
      <c r="B120" s="8" t="s">
        <v>425</v>
      </c>
      <c r="C120" s="8" t="str">
        <f>IF(B120="","",IFERROR(INDEX(SakesV5[銘柄],MATCH(B120,SakesV5[酒款ID],0)),"酒款ID未找到"))</f>
        <v>田酒</v>
      </c>
      <c r="D120" s="8" t="str">
        <f>IF(B120="","",IFERROR(INDEX(SakesV5[酒款],MATCH(B120,SakesV5[酒款ID],0)),"酒款ID未找到"))</f>
        <v>純米吟醸 生 うすにごり</v>
      </c>
      <c r="E120" s="8"/>
      <c r="F120" s="8" t="s">
        <v>793</v>
      </c>
      <c r="G120" s="8" t="s">
        <v>794</v>
      </c>
      <c r="H120" s="9"/>
      <c r="I120" s="9"/>
      <c r="J120" s="22"/>
      <c r="K120" s="22"/>
      <c r="L120" s="10"/>
      <c r="M120" s="18">
        <v>720</v>
      </c>
      <c r="N120" s="27" t="s">
        <v>917</v>
      </c>
      <c r="O120" s="11" t="s">
        <v>1171</v>
      </c>
      <c r="P120" s="10">
        <v>1700</v>
      </c>
      <c r="Q120" s="8" t="s">
        <v>787</v>
      </c>
      <c r="R120" s="8" t="s">
        <v>795</v>
      </c>
      <c r="S120" s="9"/>
      <c r="T120" s="8"/>
      <c r="U120" s="8"/>
      <c r="V120" s="8"/>
      <c r="W120" s="8"/>
      <c r="X120" s="11"/>
      <c r="Y120" s="8"/>
      <c r="Z120" s="8"/>
      <c r="AA120" s="9"/>
    </row>
    <row r="121" spans="1:27" ht="57.95" customHeight="1">
      <c r="A121" s="8" t="s">
        <v>957</v>
      </c>
      <c r="B121" s="8" t="s">
        <v>429</v>
      </c>
      <c r="C121" s="8" t="str">
        <f>IF(B121="","",IFERROR(INDEX(SakesV5[銘柄],MATCH(B121,SakesV5[酒款ID],0)),"酒款ID未找到"))</f>
        <v>望bo:</v>
      </c>
      <c r="D121" s="8" t="str">
        <f>IF(B121="","",IFERROR(INDEX(SakesV5[酒款],MATCH(B121,SakesV5[酒款ID],0)),"酒款ID未找到"))</f>
        <v>純米吟釀新酒 無過濾生原酒 夢ささら</v>
      </c>
      <c r="E121" s="8"/>
      <c r="F121" s="8" t="s">
        <v>793</v>
      </c>
      <c r="G121" s="8" t="s">
        <v>794</v>
      </c>
      <c r="H121" s="9"/>
      <c r="I121" s="9"/>
      <c r="J121" s="22"/>
      <c r="K121" s="22"/>
      <c r="L121" s="10"/>
      <c r="M121" s="18">
        <v>720</v>
      </c>
      <c r="N121" s="46" t="s">
        <v>1172</v>
      </c>
      <c r="O121" s="11"/>
      <c r="P121" s="10"/>
      <c r="Q121" s="8"/>
      <c r="R121" s="8"/>
      <c r="S121" s="9"/>
      <c r="T121" s="8"/>
      <c r="U121" s="8"/>
      <c r="V121" s="8"/>
      <c r="W121" s="8"/>
      <c r="X121" s="11"/>
      <c r="Y121" s="8"/>
      <c r="Z121" s="8"/>
      <c r="AA121" s="9"/>
    </row>
    <row r="122" spans="1:27" ht="57.95" customHeight="1">
      <c r="A122" s="8" t="s">
        <v>958</v>
      </c>
      <c r="B122" s="8" t="s">
        <v>435</v>
      </c>
      <c r="C122" s="8" t="str">
        <f>IF(B122="","",IFERROR(INDEX(SakesV5[銘柄],MATCH(B122,SakesV5[酒款ID],0)),"酒款ID未找到"))</f>
        <v>京雛</v>
      </c>
      <c r="D122" s="8" t="str">
        <f>IF(B122="","",IFERROR(INDEX(SakesV5[酒款],MATCH(B122,SakesV5[酒款ID],0)),"酒款ID未找到"))</f>
        <v>純米大吟釀 隱劍</v>
      </c>
      <c r="E122" s="8"/>
      <c r="F122" s="8" t="s">
        <v>793</v>
      </c>
      <c r="G122" s="8" t="s">
        <v>804</v>
      </c>
      <c r="H122" s="9"/>
      <c r="I122" s="9"/>
      <c r="J122" s="22"/>
      <c r="K122" s="22"/>
      <c r="L122" s="10"/>
      <c r="M122" s="18">
        <v>720</v>
      </c>
      <c r="N122" s="39" t="s">
        <v>1175</v>
      </c>
      <c r="O122" s="11"/>
      <c r="P122" s="10"/>
      <c r="Q122" s="8"/>
      <c r="R122" s="8"/>
      <c r="S122" s="9"/>
      <c r="T122" s="8"/>
      <c r="U122" s="8"/>
      <c r="V122" s="8"/>
      <c r="W122" s="8"/>
      <c r="X122" s="11"/>
      <c r="Y122" s="8"/>
      <c r="Z122" s="8"/>
      <c r="AA122" s="9"/>
    </row>
    <row r="123" spans="1:27" ht="57.95" customHeight="1">
      <c r="A123" s="8" t="s">
        <v>959</v>
      </c>
      <c r="B123" s="8" t="s">
        <v>440</v>
      </c>
      <c r="C123" s="8" t="str">
        <f>IF(B123="","",IFERROR(INDEX(SakesV5[銘柄],MATCH(B123,SakesV5[酒款ID],0)),"酒款ID未找到"))</f>
        <v>白岳仙</v>
      </c>
      <c r="D123" s="8" t="str">
        <f>IF(B123="","",IFERROR(INDEX(SakesV5[酒款],MATCH(B123,SakesV5[酒款ID],0)),"酒款ID未找到"))</f>
        <v>純米吟釀 搾立</v>
      </c>
      <c r="E123" s="8"/>
      <c r="F123" s="8" t="s">
        <v>793</v>
      </c>
      <c r="G123" s="8" t="s">
        <v>794</v>
      </c>
      <c r="H123" s="9"/>
      <c r="I123" s="9"/>
      <c r="J123" s="22"/>
      <c r="K123" s="22"/>
      <c r="L123" s="10"/>
      <c r="M123" s="18">
        <v>720</v>
      </c>
      <c r="N123" s="9" t="s">
        <v>1215</v>
      </c>
      <c r="O123" s="11"/>
      <c r="P123" s="10"/>
      <c r="Q123" s="8"/>
      <c r="R123" s="8"/>
      <c r="S123" s="9"/>
      <c r="T123" s="8"/>
      <c r="U123" s="8"/>
      <c r="V123" s="8"/>
      <c r="W123" s="8"/>
      <c r="X123" s="11"/>
      <c r="Y123" s="8"/>
      <c r="Z123" s="8"/>
      <c r="AA123" s="9"/>
    </row>
    <row r="124" spans="1:27" ht="57.95" customHeight="1">
      <c r="A124" s="8" t="s">
        <v>960</v>
      </c>
      <c r="B124" s="8" t="s">
        <v>444</v>
      </c>
      <c r="C124" s="8" t="str">
        <f>IF(B124="","",IFERROR(INDEX(SakesV5[銘柄],MATCH(B124,SakesV5[酒款ID],0)),"酒款ID未找到"))</f>
        <v>白岳仙</v>
      </c>
      <c r="D124" s="8" t="str">
        <f>IF(B124="","",IFERROR(INDEX(SakesV5[酒款],MATCH(B124,SakesV5[酒款ID],0)),"酒款ID未找到"))</f>
        <v>夏虫 純米吟釀</v>
      </c>
      <c r="E124" s="8"/>
      <c r="F124" s="8" t="s">
        <v>779</v>
      </c>
      <c r="G124" s="8" t="s">
        <v>780</v>
      </c>
      <c r="H124" s="9"/>
      <c r="I124" s="9"/>
      <c r="J124" s="22"/>
      <c r="K124" s="22"/>
      <c r="L124" s="10"/>
      <c r="M124" s="18"/>
      <c r="N124" s="9" t="s">
        <v>1215</v>
      </c>
      <c r="O124" s="11"/>
      <c r="P124" s="10"/>
      <c r="Q124" s="8"/>
      <c r="R124" s="8"/>
      <c r="S124" s="9"/>
      <c r="T124" s="8"/>
      <c r="U124" s="8"/>
      <c r="V124" s="8"/>
      <c r="W124" s="8"/>
      <c r="X124" s="11"/>
      <c r="Y124" s="8"/>
      <c r="Z124" s="8"/>
      <c r="AA124" s="9"/>
    </row>
    <row r="125" spans="1:27" ht="57.95" customHeight="1">
      <c r="A125" s="8" t="s">
        <v>961</v>
      </c>
      <c r="B125" s="8" t="s">
        <v>446</v>
      </c>
      <c r="C125" s="8" t="str">
        <f>IF(B125="","",IFERROR(INDEX(SakesV5[銘柄],MATCH(B125,SakesV5[酒款ID],0)),"酒款ID未找到"))</f>
        <v>白岳仙</v>
      </c>
      <c r="D125" s="8" t="str">
        <f>IF(B125="","",IFERROR(INDEX(SakesV5[酒款],MATCH(B125,SakesV5[酒款ID],0)),"酒款ID未找到"))</f>
        <v>黑鐵 純米吟釀</v>
      </c>
      <c r="E125" s="8"/>
      <c r="F125" s="8" t="s">
        <v>779</v>
      </c>
      <c r="G125" s="8" t="s">
        <v>780</v>
      </c>
      <c r="H125" s="9"/>
      <c r="I125" s="9"/>
      <c r="J125" s="22"/>
      <c r="K125" s="22"/>
      <c r="L125" s="10"/>
      <c r="M125" s="18"/>
      <c r="N125" s="9" t="s">
        <v>1215</v>
      </c>
      <c r="O125" s="11"/>
      <c r="P125" s="10"/>
      <c r="Q125" s="8"/>
      <c r="R125" s="8"/>
      <c r="S125" s="9"/>
      <c r="T125" s="8"/>
      <c r="U125" s="8"/>
      <c r="V125" s="8"/>
      <c r="W125" s="8"/>
      <c r="X125" s="11"/>
      <c r="Y125" s="8"/>
      <c r="Z125" s="8"/>
      <c r="AA125" s="9"/>
    </row>
    <row r="126" spans="1:27" ht="57.95" customHeight="1">
      <c r="A126" s="8" t="s">
        <v>962</v>
      </c>
      <c r="B126" s="8" t="s">
        <v>448</v>
      </c>
      <c r="C126" s="8" t="str">
        <f>IF(B126="","",IFERROR(INDEX(SakesV5[銘柄],MATCH(B126,SakesV5[酒款ID],0)),"酒款ID未找到"))</f>
        <v>白岳仙</v>
      </c>
      <c r="D126" s="8" t="str">
        <f>IF(B126="","",IFERROR(INDEX(SakesV5[酒款],MATCH(B126,SakesV5[酒款ID],0)),"酒款ID未找到"))</f>
        <v>真紅 純米吟釀</v>
      </c>
      <c r="E126" s="8"/>
      <c r="F126" s="8" t="s">
        <v>779</v>
      </c>
      <c r="G126" s="8" t="s">
        <v>780</v>
      </c>
      <c r="H126" s="9"/>
      <c r="I126" s="9"/>
      <c r="J126" s="22"/>
      <c r="K126" s="22"/>
      <c r="L126" s="10"/>
      <c r="M126" s="18"/>
      <c r="N126" s="9" t="s">
        <v>1215</v>
      </c>
      <c r="O126" s="11"/>
      <c r="P126" s="10"/>
      <c r="Q126" s="8"/>
      <c r="R126" s="8"/>
      <c r="S126" s="9"/>
      <c r="T126" s="8"/>
      <c r="U126" s="8"/>
      <c r="V126" s="8"/>
      <c r="W126" s="8"/>
      <c r="X126" s="11"/>
      <c r="Y126" s="8"/>
      <c r="Z126" s="8"/>
      <c r="AA126" s="9"/>
    </row>
    <row r="127" spans="1:27" ht="57.95" customHeight="1">
      <c r="A127" s="8" t="s">
        <v>963</v>
      </c>
      <c r="B127" s="8" t="s">
        <v>450</v>
      </c>
      <c r="C127" s="8" t="str">
        <f>IF(B127="","",IFERROR(INDEX(SakesV5[銘柄],MATCH(B127,SakesV5[酒款ID],0)),"酒款ID未找到"))</f>
        <v>白岳仙</v>
      </c>
      <c r="D127" s="8" t="str">
        <f>IF(B127="","",IFERROR(INDEX(SakesV5[酒款],MATCH(B127,SakesV5[酒款ID],0)),"酒款ID未找到"))</f>
        <v>櫻鼠 純米吟釀</v>
      </c>
      <c r="E127" s="8"/>
      <c r="F127" s="8" t="s">
        <v>779</v>
      </c>
      <c r="G127" s="8" t="s">
        <v>780</v>
      </c>
      <c r="H127" s="9"/>
      <c r="I127" s="9"/>
      <c r="J127" s="22"/>
      <c r="K127" s="22"/>
      <c r="L127" s="10"/>
      <c r="M127" s="18"/>
      <c r="N127" s="9" t="s">
        <v>1215</v>
      </c>
      <c r="O127" s="11"/>
      <c r="P127" s="10"/>
      <c r="Q127" s="8"/>
      <c r="R127" s="8"/>
      <c r="S127" s="9"/>
      <c r="T127" s="8"/>
      <c r="U127" s="8"/>
      <c r="V127" s="8"/>
      <c r="W127" s="8"/>
      <c r="X127" s="11"/>
      <c r="Y127" s="8"/>
      <c r="Z127" s="8"/>
      <c r="AA127" s="9"/>
    </row>
    <row r="128" spans="1:27" ht="57.95" customHeight="1">
      <c r="A128" s="8" t="s">
        <v>964</v>
      </c>
      <c r="B128" s="8" t="s">
        <v>453</v>
      </c>
      <c r="C128" s="8" t="str">
        <f>IF(B128="","",IFERROR(INDEX(SakesV5[銘柄],MATCH(B128,SakesV5[酒款ID],0)),"酒款ID未找到"))</f>
        <v>白岳仙</v>
      </c>
      <c r="D128" s="8" t="str">
        <f>IF(B128="","",IFERROR(INDEX(SakesV5[酒款],MATCH(B128,SakesV5[酒款ID],0)),"酒款ID未找到"))</f>
        <v>極走 純米大吟釀生酒</v>
      </c>
      <c r="E128" s="8"/>
      <c r="F128" s="8" t="s">
        <v>793</v>
      </c>
      <c r="G128" s="8" t="s">
        <v>794</v>
      </c>
      <c r="H128" s="9"/>
      <c r="I128" s="9"/>
      <c r="J128" s="22"/>
      <c r="K128" s="22"/>
      <c r="L128" s="10"/>
      <c r="M128" s="18"/>
      <c r="N128" s="9" t="s">
        <v>1215</v>
      </c>
      <c r="O128" s="11"/>
      <c r="P128" s="10"/>
      <c r="Q128" s="8"/>
      <c r="R128" s="8"/>
      <c r="S128" s="9"/>
      <c r="T128" s="8"/>
      <c r="U128" s="8"/>
      <c r="V128" s="8"/>
      <c r="W128" s="8"/>
      <c r="X128" s="11"/>
      <c r="Y128" s="8"/>
      <c r="Z128" s="8"/>
      <c r="AA128" s="9"/>
    </row>
    <row r="129" spans="1:27" ht="57.95" customHeight="1">
      <c r="A129" s="8" t="s">
        <v>965</v>
      </c>
      <c r="B129" s="8" t="s">
        <v>455</v>
      </c>
      <c r="C129" s="8" t="str">
        <f>IF(B129="","",IFERROR(INDEX(SakesV5[銘柄],MATCH(B129,SakesV5[酒款ID],0)),"酒款ID未找到"))</f>
        <v>玄宰</v>
      </c>
      <c r="D129" s="8" t="str">
        <f>IF(B129="","",IFERROR(INDEX(SakesV5[酒款],MATCH(B129,SakesV5[酒款ID],0)),"酒款ID未找到"))</f>
        <v>大吟釀</v>
      </c>
      <c r="E129" s="8"/>
      <c r="F129" s="8" t="s">
        <v>793</v>
      </c>
      <c r="G129" s="8" t="s">
        <v>1012</v>
      </c>
      <c r="H129" s="9"/>
      <c r="I129" s="9"/>
      <c r="J129" s="22"/>
      <c r="K129" s="22"/>
      <c r="L129" s="10"/>
      <c r="M129" s="18">
        <v>720</v>
      </c>
      <c r="N129" s="39" t="s">
        <v>1168</v>
      </c>
      <c r="O129" s="11"/>
      <c r="P129" s="10"/>
      <c r="Q129" s="8"/>
      <c r="R129" s="8"/>
      <c r="S129" s="9"/>
      <c r="T129" s="8"/>
      <c r="U129" s="8"/>
      <c r="V129" s="8"/>
      <c r="W129" s="8"/>
      <c r="X129" s="11"/>
      <c r="Y129" s="8"/>
      <c r="Z129" s="8"/>
      <c r="AA129" s="9"/>
    </row>
    <row r="130" spans="1:27" ht="57.95" customHeight="1">
      <c r="A130" s="8" t="s">
        <v>966</v>
      </c>
      <c r="B130" s="8" t="s">
        <v>458</v>
      </c>
      <c r="C130" s="8" t="str">
        <f>IF(B130="","",IFERROR(INDEX(SakesV5[銘柄],MATCH(B130,SakesV5[酒款ID],0)),"酒款ID未找到"))</f>
        <v>阿部 あべ</v>
      </c>
      <c r="D130" s="8" t="str">
        <f>IF(B130="","",IFERROR(INDEX(SakesV5[酒款],MATCH(B130,SakesV5[酒款ID],0)),"酒款ID未找到"))</f>
        <v>Abe black</v>
      </c>
      <c r="E130" s="8"/>
      <c r="F130" s="8" t="s">
        <v>793</v>
      </c>
      <c r="G130" s="8" t="s">
        <v>1012</v>
      </c>
      <c r="H130" s="9"/>
      <c r="I130" s="9"/>
      <c r="J130" s="22"/>
      <c r="K130" s="22"/>
      <c r="L130" s="10"/>
      <c r="M130" s="18">
        <v>720</v>
      </c>
      <c r="N130" s="9" t="s">
        <v>1215</v>
      </c>
      <c r="O130" s="11"/>
      <c r="P130" s="10"/>
      <c r="Q130" s="8"/>
      <c r="R130" s="8"/>
      <c r="S130" s="9"/>
      <c r="T130" s="8"/>
      <c r="U130" s="8"/>
      <c r="V130" s="8"/>
      <c r="W130" s="8"/>
      <c r="X130" s="11"/>
      <c r="Y130" s="8"/>
      <c r="Z130" s="8"/>
      <c r="AA130" s="9"/>
    </row>
    <row r="131" spans="1:27" ht="57.95" customHeight="1">
      <c r="A131" s="8" t="s">
        <v>967</v>
      </c>
      <c r="B131" s="8" t="s">
        <v>462</v>
      </c>
      <c r="C131" s="8" t="str">
        <f>IF(B131="","",IFERROR(INDEX(SakesV5[銘柄],MATCH(B131,SakesV5[酒款ID],0)),"酒款ID未找到"))</f>
        <v>黑龍</v>
      </c>
      <c r="D131" s="8" t="str">
        <f>IF(B131="","",IFERROR(INDEX(SakesV5[酒款],MATCH(B131,SakesV5[酒款ID],0)),"酒款ID未找到"))</f>
        <v>しずく</v>
      </c>
      <c r="E131" s="8"/>
      <c r="F131" s="8" t="s">
        <v>793</v>
      </c>
      <c r="G131" s="8" t="s">
        <v>794</v>
      </c>
      <c r="H131" s="9"/>
      <c r="I131" s="9"/>
      <c r="J131" s="22"/>
      <c r="K131" s="22"/>
      <c r="L131" s="10"/>
      <c r="M131" s="18">
        <v>1800</v>
      </c>
      <c r="N131" s="49" t="s">
        <v>1181</v>
      </c>
      <c r="O131" s="11"/>
      <c r="P131" s="10"/>
      <c r="Q131" s="8"/>
      <c r="R131" s="8"/>
      <c r="S131" s="9"/>
      <c r="T131" s="8"/>
      <c r="U131" s="8"/>
      <c r="V131" s="8"/>
      <c r="W131" s="8"/>
      <c r="X131" s="11"/>
      <c r="Y131" s="8"/>
      <c r="Z131" s="8"/>
      <c r="AA131" s="9"/>
    </row>
    <row r="132" spans="1:27" ht="57.95" customHeight="1">
      <c r="A132" s="8" t="s">
        <v>968</v>
      </c>
      <c r="B132" s="8" t="s">
        <v>465</v>
      </c>
      <c r="C132" s="8" t="str">
        <f>IF(B132="","",IFERROR(INDEX(SakesV5[銘柄],MATCH(B132,SakesV5[酒款ID],0)),"酒款ID未找到"))</f>
        <v>五橋</v>
      </c>
      <c r="D132" s="8" t="str">
        <f>IF(B132="","",IFERROR(INDEX(SakesV5[酒款],MATCH(B132,SakesV5[酒款ID],0)),"酒款ID未找到"))</f>
        <v xml:space="preserve">2026年 立春朝榨 </v>
      </c>
      <c r="E132" s="8" t="s">
        <v>969</v>
      </c>
      <c r="F132" s="8" t="s">
        <v>779</v>
      </c>
      <c r="G132" s="8" t="s">
        <v>780</v>
      </c>
      <c r="H132" s="9"/>
      <c r="I132" s="9"/>
      <c r="J132" s="22"/>
      <c r="K132" s="22"/>
      <c r="L132" s="10"/>
      <c r="M132" s="18"/>
      <c r="N132" s="9" t="s">
        <v>1215</v>
      </c>
      <c r="O132" s="11"/>
      <c r="P132" s="10"/>
      <c r="Q132" s="8"/>
      <c r="R132" s="8"/>
      <c r="S132" s="9"/>
      <c r="T132" s="8"/>
      <c r="U132" s="8"/>
      <c r="V132" s="8"/>
      <c r="W132" s="8"/>
      <c r="X132" s="11"/>
      <c r="Y132" s="8"/>
      <c r="Z132" s="8"/>
      <c r="AA132" s="9"/>
    </row>
    <row r="133" spans="1:27" ht="57.95" customHeight="1">
      <c r="A133" s="8" t="s">
        <v>970</v>
      </c>
      <c r="B133" s="8" t="s">
        <v>469</v>
      </c>
      <c r="C133" s="8" t="str">
        <f>IF(B133="","",IFERROR(INDEX(SakesV5[銘柄],MATCH(B133,SakesV5[酒款ID],0)),"酒款ID未找到"))</f>
        <v>大山</v>
      </c>
      <c r="D133" s="8" t="str">
        <f>IF(B133="","",IFERROR(INDEX(SakesV5[酒款],MATCH(B133,SakesV5[酒款ID],0)),"酒款ID未找到"))</f>
        <v>2026年 立春朝榨</v>
      </c>
      <c r="E133" s="8" t="s">
        <v>969</v>
      </c>
      <c r="F133" s="8" t="s">
        <v>779</v>
      </c>
      <c r="G133" s="8" t="s">
        <v>780</v>
      </c>
      <c r="H133" s="9"/>
      <c r="I133" s="9"/>
      <c r="J133" s="22"/>
      <c r="K133" s="22"/>
      <c r="L133" s="10"/>
      <c r="M133" s="18"/>
      <c r="N133" s="9" t="s">
        <v>1215</v>
      </c>
      <c r="O133" s="11"/>
      <c r="P133" s="10"/>
      <c r="Q133" s="8"/>
      <c r="R133" s="8"/>
      <c r="S133" s="9"/>
      <c r="T133" s="8"/>
      <c r="U133" s="8"/>
      <c r="V133" s="8"/>
      <c r="W133" s="8"/>
      <c r="X133" s="11"/>
      <c r="Y133" s="8"/>
      <c r="Z133" s="8"/>
      <c r="AA133" s="9"/>
    </row>
    <row r="134" spans="1:27" ht="57.95" customHeight="1">
      <c r="A134" s="8" t="s">
        <v>971</v>
      </c>
      <c r="B134" s="8" t="s">
        <v>473</v>
      </c>
      <c r="C134" s="8" t="str">
        <f>IF(B134="","",IFERROR(INDEX(SakesV5[銘柄],MATCH(B134,SakesV5[酒款ID],0)),"酒款ID未找到"))</f>
        <v>嘉美心</v>
      </c>
      <c r="D134" s="8" t="str">
        <f>IF(B134="","",IFERROR(INDEX(SakesV5[酒款],MATCH(B134,SakesV5[酒款ID],0)),"酒款ID未找到"))</f>
        <v>2026年 立春朝榨</v>
      </c>
      <c r="E134" s="8" t="s">
        <v>969</v>
      </c>
      <c r="F134" s="8" t="s">
        <v>779</v>
      </c>
      <c r="G134" s="8" t="s">
        <v>780</v>
      </c>
      <c r="H134" s="9"/>
      <c r="I134" s="9"/>
      <c r="J134" s="22"/>
      <c r="K134" s="22"/>
      <c r="L134" s="10"/>
      <c r="M134" s="18"/>
      <c r="N134" s="9" t="s">
        <v>1215</v>
      </c>
      <c r="O134" s="11"/>
      <c r="P134" s="10"/>
      <c r="Q134" s="8"/>
      <c r="R134" s="8"/>
      <c r="S134" s="9"/>
      <c r="T134" s="8"/>
      <c r="U134" s="8"/>
      <c r="V134" s="8"/>
      <c r="W134" s="8"/>
      <c r="X134" s="11"/>
      <c r="Y134" s="8"/>
      <c r="Z134" s="8"/>
      <c r="AA134" s="9"/>
    </row>
    <row r="135" spans="1:27" ht="57.95" customHeight="1">
      <c r="A135" s="8" t="s">
        <v>972</v>
      </c>
      <c r="B135" s="8" t="s">
        <v>477</v>
      </c>
      <c r="C135" s="8" t="str">
        <f>IF(B135="","",IFERROR(INDEX(SakesV5[銘柄],MATCH(B135,SakesV5[酒款ID],0)),"酒款ID未找到"))</f>
        <v>一之藏</v>
      </c>
      <c r="D135" s="8" t="str">
        <f>IF(B135="","",IFERROR(INDEX(SakesV5[酒款],MATCH(B135,SakesV5[酒款ID],0)),"酒款ID未找到"))</f>
        <v>2026年 立春朝榨</v>
      </c>
      <c r="E135" s="8" t="s">
        <v>969</v>
      </c>
      <c r="F135" s="8" t="s">
        <v>779</v>
      </c>
      <c r="G135" s="8" t="s">
        <v>780</v>
      </c>
      <c r="H135" s="9"/>
      <c r="I135" s="9"/>
      <c r="J135" s="22"/>
      <c r="K135" s="22"/>
      <c r="L135" s="10"/>
      <c r="M135" s="18"/>
      <c r="N135" s="9" t="s">
        <v>1215</v>
      </c>
      <c r="O135" s="11"/>
      <c r="P135" s="10"/>
      <c r="Q135" s="8"/>
      <c r="R135" s="8"/>
      <c r="S135" s="9"/>
      <c r="T135" s="8"/>
      <c r="U135" s="8"/>
      <c r="V135" s="8"/>
      <c r="W135" s="8"/>
      <c r="X135" s="11"/>
      <c r="Y135" s="8"/>
      <c r="Z135" s="8"/>
      <c r="AA135" s="9"/>
    </row>
    <row r="136" spans="1:27" ht="57.95" customHeight="1">
      <c r="A136" s="8" t="s">
        <v>973</v>
      </c>
      <c r="B136" s="8" t="s">
        <v>479</v>
      </c>
      <c r="C136" s="8" t="str">
        <f>IF(B136="","",IFERROR(INDEX(SakesV5[銘柄],MATCH(B136,SakesV5[酒款ID],0)),"酒款ID未找到"))</f>
        <v>司牡丹</v>
      </c>
      <c r="D136" s="8" t="str">
        <f>IF(B136="","",IFERROR(INDEX(SakesV5[酒款],MATCH(B136,SakesV5[酒款ID],0)),"酒款ID未找到"))</f>
        <v>2026年 立春朝榨</v>
      </c>
      <c r="E136" s="8" t="s">
        <v>969</v>
      </c>
      <c r="F136" s="8" t="s">
        <v>779</v>
      </c>
      <c r="G136" s="8" t="s">
        <v>780</v>
      </c>
      <c r="H136" s="9"/>
      <c r="I136" s="9"/>
      <c r="J136" s="22"/>
      <c r="K136" s="22"/>
      <c r="L136" s="10"/>
      <c r="M136" s="18"/>
      <c r="N136" s="9" t="s">
        <v>1215</v>
      </c>
      <c r="O136" s="11"/>
      <c r="P136" s="10"/>
      <c r="Q136" s="8"/>
      <c r="R136" s="8"/>
      <c r="S136" s="9"/>
      <c r="T136" s="8"/>
      <c r="U136" s="8"/>
      <c r="V136" s="8"/>
      <c r="W136" s="8"/>
      <c r="X136" s="11"/>
      <c r="Y136" s="8"/>
      <c r="Z136" s="8"/>
      <c r="AA136" s="9"/>
    </row>
    <row r="137" spans="1:27" ht="57.95" customHeight="1">
      <c r="A137" s="8" t="s">
        <v>974</v>
      </c>
      <c r="B137" s="8" t="s">
        <v>482</v>
      </c>
      <c r="C137" s="8" t="str">
        <f>IF(B137="","",IFERROR(INDEX(SakesV5[銘柄],MATCH(B137,SakesV5[酒款ID],0)),"酒款ID未找到"))</f>
        <v>紫宙</v>
      </c>
      <c r="D137" s="8" t="str">
        <f>IF(B137="","",IFERROR(INDEX(SakesV5[酒款],MATCH(B137,SakesV5[酒款ID],0)),"酒款ID未找到"))</f>
        <v>火焰</v>
      </c>
      <c r="E137" s="8"/>
      <c r="F137" s="8" t="s">
        <v>793</v>
      </c>
      <c r="G137" s="8" t="s">
        <v>794</v>
      </c>
      <c r="H137" s="9"/>
      <c r="I137" s="9"/>
      <c r="J137" s="22"/>
      <c r="K137" s="22"/>
      <c r="L137" s="10"/>
      <c r="M137" s="18">
        <v>720</v>
      </c>
      <c r="N137" s="8" t="s">
        <v>849</v>
      </c>
      <c r="O137" s="11"/>
      <c r="P137" s="10"/>
      <c r="Q137" s="8"/>
      <c r="R137" s="8"/>
      <c r="S137" s="9"/>
      <c r="T137" s="8"/>
      <c r="U137" s="8"/>
      <c r="V137" s="8"/>
      <c r="W137" s="8"/>
      <c r="X137" s="11"/>
      <c r="Y137" s="8"/>
      <c r="Z137" s="8"/>
      <c r="AA137" s="9"/>
    </row>
    <row r="138" spans="1:27" ht="57.95" customHeight="1">
      <c r="A138" s="8" t="s">
        <v>975</v>
      </c>
      <c r="B138" s="8" t="s">
        <v>487</v>
      </c>
      <c r="C138" s="8" t="str">
        <f>IF(B138="","",IFERROR(INDEX(SakesV5[銘柄],MATCH(B138,SakesV5[酒款ID],0)),"酒款ID未找到"))</f>
        <v>榮光富士</v>
      </c>
      <c r="D138" s="8" t="str">
        <f>IF(B138="","",IFERROR(INDEX(SakesV5[酒款],MATCH(B138,SakesV5[酒款ID],0)),"酒款ID未找到"))</f>
        <v>原始乃胎動 純米大吟釀 無濾過生原酒</v>
      </c>
      <c r="E138" s="8"/>
      <c r="F138" s="8" t="s">
        <v>793</v>
      </c>
      <c r="G138" s="8" t="s">
        <v>794</v>
      </c>
      <c r="H138" s="9"/>
      <c r="I138" s="9"/>
      <c r="J138" s="22"/>
      <c r="K138" s="22"/>
      <c r="L138" s="10"/>
      <c r="M138" s="18">
        <v>720</v>
      </c>
      <c r="N138" s="8" t="s">
        <v>849</v>
      </c>
      <c r="O138" s="11"/>
      <c r="P138" s="10"/>
      <c r="Q138" s="8"/>
      <c r="R138" s="8"/>
      <c r="S138" s="9"/>
      <c r="T138" s="8"/>
      <c r="U138" s="8"/>
      <c r="V138" s="8"/>
      <c r="W138" s="8"/>
      <c r="X138" s="11"/>
      <c r="Y138" s="8"/>
      <c r="Z138" s="8"/>
      <c r="AA138" s="9"/>
    </row>
    <row r="139" spans="1:27" ht="57.95" customHeight="1">
      <c r="A139" s="8" t="s">
        <v>976</v>
      </c>
      <c r="B139" s="8" t="s">
        <v>489</v>
      </c>
      <c r="C139" s="8" t="str">
        <f>IF(B139="","",IFERROR(INDEX(SakesV5[銘柄],MATCH(B139,SakesV5[酒款ID],0)),"酒款ID未找到"))</f>
        <v>IWA5</v>
      </c>
      <c r="D139" s="8" t="str">
        <f>IF(B139="","",IFERROR(INDEX(SakesV5[酒款],MATCH(B139,SakesV5[酒款ID],0)),"酒款ID未找到"))</f>
        <v>Reserves</v>
      </c>
      <c r="E139" s="8"/>
      <c r="F139" s="8" t="s">
        <v>793</v>
      </c>
      <c r="G139" s="8" t="s">
        <v>804</v>
      </c>
      <c r="H139" s="9"/>
      <c r="I139" s="9"/>
      <c r="J139" s="22"/>
      <c r="K139" s="22"/>
      <c r="L139" s="10"/>
      <c r="M139" s="18">
        <v>720</v>
      </c>
      <c r="N139" s="39" t="s">
        <v>1168</v>
      </c>
      <c r="O139" s="11"/>
      <c r="P139" s="10"/>
      <c r="Q139" s="8"/>
      <c r="R139" s="8"/>
      <c r="S139" s="9"/>
      <c r="T139" s="8"/>
      <c r="U139" s="8"/>
      <c r="V139" s="8"/>
      <c r="W139" s="8"/>
      <c r="X139" s="11"/>
      <c r="Y139" s="8"/>
      <c r="Z139" s="8"/>
      <c r="AA139" s="9"/>
    </row>
    <row r="140" spans="1:27" ht="57.95" customHeight="1">
      <c r="A140" s="8" t="s">
        <v>977</v>
      </c>
      <c r="B140" s="8" t="s">
        <v>494</v>
      </c>
      <c r="C140" s="8" t="str">
        <f>IF(B140="","",IFERROR(INDEX(SakesV5[銘柄],MATCH(B140,SakesV5[酒款ID],0)),"酒款ID未找到"))</f>
        <v>水端</v>
      </c>
      <c r="D140" s="8" t="str">
        <f>IF(B140="","",IFERROR(INDEX(SakesV5[酒款],MATCH(B140,SakesV5[酒款ID],0)),"酒款ID未找到"))</f>
        <v>1569xEUREKA!</v>
      </c>
      <c r="E140" s="8"/>
      <c r="F140" s="8" t="s">
        <v>793</v>
      </c>
      <c r="G140" s="8" t="s">
        <v>804</v>
      </c>
      <c r="H140" s="9"/>
      <c r="I140" s="9"/>
      <c r="J140" s="22"/>
      <c r="K140" s="22"/>
      <c r="L140" s="10"/>
      <c r="M140" s="18">
        <v>500</v>
      </c>
      <c r="N140" s="9" t="s">
        <v>1215</v>
      </c>
      <c r="O140" s="11"/>
      <c r="P140" s="10"/>
      <c r="Q140" s="8"/>
      <c r="R140" s="8"/>
      <c r="S140" s="9"/>
      <c r="T140" s="8"/>
      <c r="U140" s="8"/>
      <c r="V140" s="8"/>
      <c r="W140" s="8"/>
      <c r="X140" s="11"/>
      <c r="Y140" s="8"/>
      <c r="Z140" s="8"/>
      <c r="AA140" s="9"/>
    </row>
    <row r="141" spans="1:27" ht="57.95" customHeight="1">
      <c r="A141" s="8" t="s">
        <v>978</v>
      </c>
      <c r="B141" s="8" t="s">
        <v>498</v>
      </c>
      <c r="C141" s="8" t="str">
        <f>IF(B141="","",IFERROR(INDEX(SakesV5[銘柄],MATCH(B141,SakesV5[酒款ID],0)),"酒款ID未找到"))</f>
        <v>X3</v>
      </c>
      <c r="D141" s="8" t="str">
        <f>IF(B141="","",IFERROR(INDEX(SakesV5[酒款],MATCH(B141,SakesV5[酒款ID],0)),"酒款ID未找到"))</f>
        <v>Pink</v>
      </c>
      <c r="E141" s="8"/>
      <c r="F141" s="8" t="s">
        <v>793</v>
      </c>
      <c r="G141" s="8" t="s">
        <v>794</v>
      </c>
      <c r="H141" s="9"/>
      <c r="I141" s="9"/>
      <c r="J141" s="22"/>
      <c r="K141" s="22"/>
      <c r="L141" s="10"/>
      <c r="M141" s="18">
        <v>720</v>
      </c>
      <c r="N141" s="9" t="s">
        <v>1215</v>
      </c>
      <c r="O141" s="11"/>
      <c r="P141" s="10"/>
      <c r="Q141" s="8"/>
      <c r="R141" s="8"/>
      <c r="S141" s="9"/>
      <c r="T141" s="8"/>
      <c r="U141" s="8"/>
      <c r="V141" s="8"/>
      <c r="W141" s="8"/>
      <c r="X141" s="11"/>
      <c r="Y141" s="8"/>
      <c r="Z141" s="8"/>
      <c r="AA141" s="9"/>
    </row>
    <row r="142" spans="1:27" ht="57.95" customHeight="1">
      <c r="A142" s="8" t="s">
        <v>979</v>
      </c>
      <c r="B142" s="8" t="s">
        <v>502</v>
      </c>
      <c r="C142" s="8" t="str">
        <f>IF(B142="","",IFERROR(INDEX(SakesV5[銘柄],MATCH(B142,SakesV5[酒款ID],0)),"酒款ID未找到"))</f>
        <v>秀鳳</v>
      </c>
      <c r="D142" s="8" t="str">
        <f>IF(B142="","",IFERROR(INDEX(SakesV5[酒款],MATCH(B142,SakesV5[酒款ID],0)),"酒款ID未找到"))</f>
        <v>2026 山形讚香 純米大吟釀</v>
      </c>
      <c r="E142" s="8" t="s">
        <v>1202</v>
      </c>
      <c r="F142" s="8" t="s">
        <v>793</v>
      </c>
      <c r="G142" s="8" t="s">
        <v>1012</v>
      </c>
      <c r="H142" s="9"/>
      <c r="I142" s="9"/>
      <c r="J142" s="22"/>
      <c r="K142" s="22"/>
      <c r="L142" s="10"/>
      <c r="M142" s="18">
        <v>720</v>
      </c>
      <c r="N142" s="9" t="s">
        <v>1215</v>
      </c>
      <c r="O142" s="11" t="s">
        <v>1201</v>
      </c>
      <c r="P142" s="10">
        <v>3980</v>
      </c>
      <c r="Q142" s="8" t="s">
        <v>787</v>
      </c>
      <c r="R142" s="8" t="s">
        <v>795</v>
      </c>
      <c r="S142" s="9"/>
      <c r="T142" s="8"/>
      <c r="U142" s="8"/>
      <c r="V142" s="8"/>
      <c r="W142" s="8"/>
      <c r="X142" s="11"/>
      <c r="Y142" s="8"/>
      <c r="Z142" s="8"/>
      <c r="AA142" s="9"/>
    </row>
    <row r="143" spans="1:27" ht="57.95" customHeight="1">
      <c r="A143" s="8" t="s">
        <v>980</v>
      </c>
      <c r="B143" s="8" t="s">
        <v>506</v>
      </c>
      <c r="C143" s="8" t="str">
        <f>IF(B143="","",IFERROR(INDEX(SakesV5[銘柄],MATCH(B143,SakesV5[酒款ID],0)),"酒款ID未找到"))</f>
        <v>秀鳳</v>
      </c>
      <c r="D143" s="8" t="str">
        <f>IF(B143="","",IFERROR(INDEX(SakesV5[酒款],MATCH(B143,SakesV5[酒款ID],0)),"酒款ID未找到"))</f>
        <v>純米大吟釀 超辛口</v>
      </c>
      <c r="E143" s="8" t="s">
        <v>1198</v>
      </c>
      <c r="F143" s="8" t="s">
        <v>779</v>
      </c>
      <c r="G143" s="8" t="s">
        <v>794</v>
      </c>
      <c r="H143" s="9"/>
      <c r="I143" s="9"/>
      <c r="J143" s="22"/>
      <c r="K143" s="22"/>
      <c r="L143" s="10"/>
      <c r="M143" s="18"/>
      <c r="N143" s="9" t="s">
        <v>1215</v>
      </c>
      <c r="O143" s="11" t="s">
        <v>1198</v>
      </c>
      <c r="P143" s="10">
        <v>350</v>
      </c>
      <c r="Q143" s="8" t="s">
        <v>787</v>
      </c>
      <c r="R143" s="8" t="s">
        <v>877</v>
      </c>
      <c r="S143" s="9"/>
      <c r="T143" s="8"/>
      <c r="U143" s="8"/>
      <c r="V143" s="8"/>
      <c r="W143" s="8"/>
      <c r="X143" s="11"/>
      <c r="Y143" s="8"/>
      <c r="Z143" s="8"/>
      <c r="AA143" s="9"/>
    </row>
    <row r="144" spans="1:27" ht="57.95" customHeight="1">
      <c r="A144" s="8" t="s">
        <v>981</v>
      </c>
      <c r="B144" s="8" t="s">
        <v>508</v>
      </c>
      <c r="C144" s="8" t="str">
        <f>IF(B144="","",IFERROR(INDEX(SakesV5[銘柄],MATCH(B144,SakesV5[酒款ID],0)),"酒款ID未找到"))</f>
        <v>秀鳳</v>
      </c>
      <c r="D144" s="8" t="str">
        <f>IF(B144="","",IFERROR(INDEX(SakesV5[酒款],MATCH(B144,SakesV5[酒款ID],0)),"酒款ID未找到"))</f>
        <v>出羽燦燦33</v>
      </c>
      <c r="E144" s="8"/>
      <c r="F144" s="8" t="s">
        <v>793</v>
      </c>
      <c r="G144" s="8" t="s">
        <v>794</v>
      </c>
      <c r="H144" s="9"/>
      <c r="I144" s="9"/>
      <c r="J144" s="22"/>
      <c r="K144" s="22"/>
      <c r="L144" s="10"/>
      <c r="M144" s="18">
        <v>1800</v>
      </c>
      <c r="N144" s="8" t="s">
        <v>849</v>
      </c>
      <c r="O144" s="11"/>
      <c r="P144" s="10"/>
      <c r="Q144" s="8" t="s">
        <v>787</v>
      </c>
      <c r="R144" s="8" t="s">
        <v>795</v>
      </c>
      <c r="S144" s="9"/>
      <c r="T144" s="8"/>
      <c r="U144" s="8"/>
      <c r="V144" s="8"/>
      <c r="W144" s="8"/>
      <c r="X144" s="11"/>
      <c r="Y144" s="8"/>
      <c r="Z144" s="8"/>
      <c r="AA144" s="9"/>
    </row>
    <row r="145" spans="1:27" ht="57.95" customHeight="1">
      <c r="A145" s="8" t="s">
        <v>982</v>
      </c>
      <c r="B145" s="8" t="s">
        <v>510</v>
      </c>
      <c r="C145" s="8" t="str">
        <f>IF(B145="","",IFERROR(INDEX(SakesV5[銘柄],MATCH(B145,SakesV5[酒款ID],0)),"酒款ID未找到"))</f>
        <v>小布施</v>
      </c>
      <c r="D145" s="8" t="str">
        <f>IF(B145="","",IFERROR(INDEX(SakesV5[酒款],MATCH(B145,SakesV5[酒款ID],0)),"酒款ID未找到"))</f>
        <v>100週年 1&amp;2號 酵母混合</v>
      </c>
      <c r="E145" s="8"/>
      <c r="F145" s="8" t="s">
        <v>793</v>
      </c>
      <c r="G145" s="8" t="s">
        <v>794</v>
      </c>
      <c r="H145" s="9"/>
      <c r="I145" s="9"/>
      <c r="J145" s="22"/>
      <c r="K145" s="22"/>
      <c r="L145" s="10"/>
      <c r="M145" s="18">
        <v>720</v>
      </c>
      <c r="N145" s="9" t="s">
        <v>1215</v>
      </c>
      <c r="O145" s="11"/>
      <c r="P145" s="10"/>
      <c r="Q145" s="8"/>
      <c r="R145" s="8"/>
      <c r="S145" s="9"/>
      <c r="T145" s="8"/>
      <c r="U145" s="8"/>
      <c r="V145" s="8"/>
      <c r="W145" s="8"/>
      <c r="X145" s="11"/>
      <c r="Y145" s="8"/>
      <c r="Z145" s="8"/>
      <c r="AA145" s="9"/>
    </row>
    <row r="146" spans="1:27" ht="57.95" customHeight="1">
      <c r="A146" s="8" t="s">
        <v>983</v>
      </c>
      <c r="B146" s="8" t="s">
        <v>514</v>
      </c>
      <c r="C146" s="8" t="str">
        <f>IF(B146="","",IFERROR(INDEX(SakesV5[銘柄],MATCH(B146,SakesV5[酒款ID],0)),"酒款ID未找到"))</f>
        <v>上川大雪</v>
      </c>
      <c r="D146" s="8" t="str">
        <f>IF(B146="","",IFERROR(INDEX(SakesV5[酒款],MATCH(B146,SakesV5[酒款ID],0)),"酒款ID未找到"))</f>
        <v>純米大吟釀35 北雫(きたしずく)</v>
      </c>
      <c r="E146" s="8"/>
      <c r="F146" s="8" t="s">
        <v>793</v>
      </c>
      <c r="G146" s="8" t="s">
        <v>804</v>
      </c>
      <c r="H146" s="9"/>
      <c r="I146" s="9"/>
      <c r="J146" s="22"/>
      <c r="K146" s="22"/>
      <c r="L146" s="10"/>
      <c r="M146" s="18">
        <v>720</v>
      </c>
      <c r="N146" s="9" t="s">
        <v>1215</v>
      </c>
      <c r="O146" s="11"/>
      <c r="P146" s="10"/>
      <c r="Q146" s="8"/>
      <c r="R146" s="8"/>
      <c r="S146" s="9"/>
      <c r="T146" s="8"/>
      <c r="U146" s="8"/>
      <c r="V146" s="8"/>
      <c r="W146" s="8"/>
      <c r="X146" s="11"/>
      <c r="Y146" s="8"/>
      <c r="Z146" s="8"/>
      <c r="AA146" s="9"/>
    </row>
    <row r="147" spans="1:27" ht="57.95" customHeight="1">
      <c r="A147" s="8" t="s">
        <v>984</v>
      </c>
      <c r="B147" s="8" t="s">
        <v>519</v>
      </c>
      <c r="C147" s="8" t="str">
        <f>IF(B147="","",IFERROR(INDEX(SakesV5[銘柄],MATCH(B147,SakesV5[酒款ID],0)),"酒款ID未找到"))</f>
        <v>真澄</v>
      </c>
      <c r="D147" s="8" t="str">
        <f>IF(B147="","",IFERROR(INDEX(SakesV5[酒款],MATCH(B147,SakesV5[酒款ID],0)),"酒款ID未找到"))</f>
        <v>漆黑 KURO 純米吟釀</v>
      </c>
      <c r="E147" s="8"/>
      <c r="F147" s="8" t="s">
        <v>793</v>
      </c>
      <c r="G147" s="8" t="s">
        <v>794</v>
      </c>
      <c r="H147" s="9"/>
      <c r="I147" s="9"/>
      <c r="J147" s="22"/>
      <c r="K147" s="22"/>
      <c r="L147" s="10"/>
      <c r="M147" s="18">
        <v>720</v>
      </c>
      <c r="N147" s="8" t="s">
        <v>849</v>
      </c>
      <c r="O147" s="11"/>
      <c r="P147" s="10"/>
      <c r="Q147" s="8"/>
      <c r="R147" s="8"/>
      <c r="S147" s="9"/>
      <c r="T147" s="8"/>
      <c r="U147" s="8"/>
      <c r="V147" s="8"/>
      <c r="W147" s="8"/>
      <c r="X147" s="11"/>
      <c r="Y147" s="8"/>
      <c r="Z147" s="8"/>
      <c r="AA147" s="9"/>
    </row>
    <row r="148" spans="1:27" ht="57.95" customHeight="1">
      <c r="A148" s="8" t="s">
        <v>985</v>
      </c>
      <c r="B148" s="8" t="s">
        <v>521</v>
      </c>
      <c r="C148" s="8" t="str">
        <f>IF(B148="","",IFERROR(INDEX(SakesV5[銘柄],MATCH(B148,SakesV5[酒款ID],0)),"酒款ID未找到"))</f>
        <v>獺祭</v>
      </c>
      <c r="D148" s="8" t="str">
        <f>IF(B148="","",IFERROR(INDEX(SakesV5[酒款],MATCH(B148,SakesV5[酒款ID],0)),"酒款ID未找到"))</f>
        <v>二割三分</v>
      </c>
      <c r="E148" s="8"/>
      <c r="F148" s="8" t="s">
        <v>779</v>
      </c>
      <c r="G148" s="8" t="s">
        <v>804</v>
      </c>
      <c r="H148" s="8"/>
      <c r="I148" s="9"/>
      <c r="J148" s="22"/>
      <c r="K148" s="22"/>
      <c r="L148" s="10"/>
      <c r="M148" s="18">
        <v>720</v>
      </c>
      <c r="N148" s="15" t="s">
        <v>1168</v>
      </c>
      <c r="O148" s="11"/>
      <c r="P148" s="10"/>
      <c r="Q148" s="8"/>
      <c r="R148" s="8"/>
      <c r="S148" s="9"/>
      <c r="T148" s="8"/>
      <c r="U148" s="8"/>
      <c r="V148" s="8"/>
      <c r="W148" s="8"/>
      <c r="X148" s="11"/>
      <c r="Y148" s="8"/>
      <c r="Z148" s="8"/>
      <c r="AA148" s="9"/>
    </row>
    <row r="149" spans="1:27" ht="57.95" customHeight="1">
      <c r="A149" s="8" t="s">
        <v>986</v>
      </c>
      <c r="B149" s="8" t="s">
        <v>525</v>
      </c>
      <c r="C149" s="8" t="str">
        <f>IF(B149="","",IFERROR(INDEX(SakesV5[銘柄],MATCH(B149,SakesV5[酒款ID],0)),"酒款ID未找到"))</f>
        <v>山形正宗</v>
      </c>
      <c r="D149" s="8" t="str">
        <f>IF(B149="","",IFERROR(INDEX(SakesV5[酒款],MATCH(B149,SakesV5[酒款ID],0)),"酒款ID未找到"))</f>
        <v>山川光男 2026 春</v>
      </c>
      <c r="E149" s="8"/>
      <c r="F149" s="8" t="s">
        <v>779</v>
      </c>
      <c r="G149" s="8" t="s">
        <v>794</v>
      </c>
      <c r="H149" s="9"/>
      <c r="I149" s="9"/>
      <c r="J149" s="22"/>
      <c r="K149" s="22"/>
      <c r="L149" s="10"/>
      <c r="M149" s="18"/>
      <c r="N149" s="9" t="s">
        <v>1215</v>
      </c>
      <c r="O149" s="11"/>
      <c r="P149" s="10"/>
      <c r="Q149" s="8"/>
      <c r="R149" s="8"/>
      <c r="S149" s="9"/>
      <c r="T149" s="8"/>
      <c r="U149" s="8"/>
      <c r="V149" s="8"/>
      <c r="W149" s="8"/>
      <c r="X149" s="11"/>
      <c r="Y149" s="8"/>
      <c r="Z149" s="8"/>
      <c r="AA149" s="9"/>
    </row>
    <row r="150" spans="1:27" ht="57.95" customHeight="1">
      <c r="A150" s="8" t="s">
        <v>987</v>
      </c>
      <c r="B150" s="8" t="s">
        <v>527</v>
      </c>
      <c r="C150" s="8" t="str">
        <f>IF(B150="","",IFERROR(INDEX(SakesV5[銘柄],MATCH(B150,SakesV5[酒款ID],0)),"酒款ID未找到"))</f>
        <v>司牡丹</v>
      </c>
      <c r="D150" s="8" t="str">
        <f>IF(B150="","",IFERROR(INDEX(SakesV5[酒款],MATCH(B150,SakesV5[酒款ID],0)),"酒款ID未找到"))</f>
        <v>船中八策 純米超辛口</v>
      </c>
      <c r="E150" s="8"/>
      <c r="F150" s="8" t="s">
        <v>779</v>
      </c>
      <c r="G150" s="8" t="s">
        <v>794</v>
      </c>
      <c r="H150" s="9"/>
      <c r="I150" s="9"/>
      <c r="J150" s="22"/>
      <c r="K150" s="22"/>
      <c r="L150" s="10"/>
      <c r="M150" s="18"/>
      <c r="N150" s="9" t="s">
        <v>1215</v>
      </c>
      <c r="O150" s="11"/>
      <c r="P150" s="10"/>
      <c r="Q150" s="8"/>
      <c r="R150" s="8"/>
      <c r="S150" s="9"/>
      <c r="T150" s="8"/>
      <c r="U150" s="8"/>
      <c r="V150" s="8"/>
      <c r="W150" s="8"/>
      <c r="X150" s="11"/>
      <c r="Y150" s="8"/>
      <c r="Z150" s="8"/>
      <c r="AA150" s="9"/>
    </row>
    <row r="151" spans="1:27" ht="57.95" customHeight="1">
      <c r="A151" s="8" t="s">
        <v>988</v>
      </c>
      <c r="B151" s="8" t="s">
        <v>529</v>
      </c>
      <c r="C151" s="8" t="str">
        <f>IF(B151="","",IFERROR(INDEX(SakesV5[銘柄],MATCH(B151,SakesV5[酒款ID],0)),"酒款ID未找到"))</f>
        <v>司牡丹</v>
      </c>
      <c r="D151" s="8" t="str">
        <f>IF(B151="","",IFERROR(INDEX(SakesV5[酒款],MATCH(B151,SakesV5[酒款ID],0)),"酒款ID未找到"))</f>
        <v>船中八策　槽搾り 黑</v>
      </c>
      <c r="E151" s="8"/>
      <c r="F151" s="8" t="s">
        <v>779</v>
      </c>
      <c r="G151" s="8" t="s">
        <v>794</v>
      </c>
      <c r="H151" s="9"/>
      <c r="I151" s="9"/>
      <c r="J151" s="22"/>
      <c r="K151" s="22"/>
      <c r="L151" s="10"/>
      <c r="M151" s="18"/>
      <c r="N151" s="9" t="s">
        <v>1215</v>
      </c>
      <c r="O151" s="11"/>
      <c r="P151" s="10"/>
      <c r="Q151" s="8"/>
      <c r="R151" s="8"/>
      <c r="S151" s="9"/>
      <c r="T151" s="8"/>
      <c r="U151" s="8"/>
      <c r="V151" s="8"/>
      <c r="W151" s="8"/>
      <c r="X151" s="11"/>
      <c r="Y151" s="8"/>
      <c r="Z151" s="8"/>
      <c r="AA151" s="9"/>
    </row>
    <row r="152" spans="1:27" ht="57.95" customHeight="1">
      <c r="A152" s="8" t="s">
        <v>989</v>
      </c>
      <c r="B152" s="8" t="s">
        <v>531</v>
      </c>
      <c r="C152" s="8" t="str">
        <f>IF(B152="","",IFERROR(INDEX(SakesV5[銘柄],MATCH(B152,SakesV5[酒款ID],0)),"酒款ID未找到"))</f>
        <v>花邑</v>
      </c>
      <c r="D152" s="8" t="str">
        <f>IF(B152="","",IFERROR(INDEX(SakesV5[酒款],MATCH(B152,SakesV5[酒款ID],0)),"酒款ID未找到"))</f>
        <v>陸羽田 純米酒</v>
      </c>
      <c r="E152" s="8"/>
      <c r="F152" s="8" t="s">
        <v>793</v>
      </c>
      <c r="G152" s="8" t="s">
        <v>1012</v>
      </c>
      <c r="H152" s="9"/>
      <c r="I152" s="9"/>
      <c r="J152" s="22"/>
      <c r="K152" s="22"/>
      <c r="L152" s="10"/>
      <c r="M152" s="18">
        <v>1800</v>
      </c>
      <c r="N152" s="9" t="s">
        <v>1215</v>
      </c>
      <c r="O152" s="11"/>
      <c r="P152" s="10"/>
      <c r="Q152" s="8"/>
      <c r="R152" s="8"/>
      <c r="S152" s="9"/>
      <c r="T152" s="8"/>
      <c r="U152" s="8"/>
      <c r="V152" s="8"/>
      <c r="W152" s="8"/>
      <c r="X152" s="11"/>
      <c r="Y152" s="8"/>
      <c r="Z152" s="8"/>
      <c r="AA152" s="9"/>
    </row>
    <row r="153" spans="1:27" ht="57.95" customHeight="1">
      <c r="A153" s="8" t="s">
        <v>990</v>
      </c>
      <c r="B153" s="8" t="s">
        <v>536</v>
      </c>
      <c r="C153" s="8" t="str">
        <f>IF(B153="","",IFERROR(INDEX(SakesV5[銘柄],MATCH(B153,SakesV5[酒款ID],0)),"酒款ID未找到"))</f>
        <v>花邑</v>
      </c>
      <c r="D153" s="8" t="str">
        <f>IF(B153="","",IFERROR(INDEX(SakesV5[酒款],MATCH(B153,SakesV5[酒款ID],0)),"酒款ID未找到"))</f>
        <v>酒未來 純米吟釀</v>
      </c>
      <c r="E153" s="8" t="s">
        <v>1197</v>
      </c>
      <c r="F153" s="8" t="s">
        <v>793</v>
      </c>
      <c r="G153" s="8" t="s">
        <v>794</v>
      </c>
      <c r="H153" s="9"/>
      <c r="I153" s="9"/>
      <c r="J153" s="22"/>
      <c r="K153" s="22"/>
      <c r="L153" s="10"/>
      <c r="M153" s="18">
        <v>1800</v>
      </c>
      <c r="N153" s="9" t="s">
        <v>1215</v>
      </c>
      <c r="O153" s="11"/>
      <c r="P153" s="10"/>
      <c r="Q153" s="8">
        <v>6580</v>
      </c>
      <c r="R153" s="8" t="s">
        <v>795</v>
      </c>
      <c r="S153" s="15" t="s">
        <v>1196</v>
      </c>
      <c r="T153" s="8"/>
      <c r="U153" s="8"/>
      <c r="V153" s="8"/>
      <c r="W153" s="8"/>
      <c r="X153" s="11"/>
      <c r="Y153" s="8"/>
      <c r="Z153" s="8"/>
      <c r="AA153" s="9"/>
    </row>
    <row r="154" spans="1:27" ht="57.95" customHeight="1">
      <c r="A154" s="8" t="s">
        <v>991</v>
      </c>
      <c r="B154" s="8" t="s">
        <v>538</v>
      </c>
      <c r="C154" s="8" t="str">
        <f>IF(B154="","",IFERROR(INDEX(SakesV5[銘柄],MATCH(B154,SakesV5[酒款ID],0)),"酒款ID未找到"))</f>
        <v>花邑</v>
      </c>
      <c r="D154" s="8" t="str">
        <f>IF(B154="","",IFERROR(INDEX(SakesV5[酒款],MATCH(B154,SakesV5[酒款ID],0)),"酒款ID未找到"))</f>
        <v>秋田酒こまち 純米吟釀</v>
      </c>
      <c r="E154" s="8"/>
      <c r="F154" s="8" t="s">
        <v>793</v>
      </c>
      <c r="G154" s="8" t="s">
        <v>1012</v>
      </c>
      <c r="H154" s="9"/>
      <c r="I154" s="9"/>
      <c r="J154" s="22"/>
      <c r="K154" s="22"/>
      <c r="L154" s="10"/>
      <c r="M154" s="18">
        <v>1800</v>
      </c>
      <c r="N154" s="9" t="s">
        <v>1215</v>
      </c>
      <c r="O154" s="11"/>
      <c r="P154" s="10"/>
      <c r="Q154" s="8"/>
      <c r="R154" s="8"/>
      <c r="S154" s="9"/>
      <c r="T154" s="8"/>
      <c r="U154" s="8"/>
      <c r="V154" s="8"/>
      <c r="W154" s="8"/>
      <c r="X154" s="11"/>
      <c r="Y154" s="8"/>
      <c r="Z154" s="8"/>
      <c r="AA154" s="9"/>
    </row>
    <row r="155" spans="1:27" ht="57.95" customHeight="1">
      <c r="A155" s="8" t="s">
        <v>992</v>
      </c>
      <c r="B155" s="8" t="s">
        <v>540</v>
      </c>
      <c r="C155" s="8" t="str">
        <f>IF(B155="","",IFERROR(INDEX(SakesV5[銘柄],MATCH(B155,SakesV5[酒款ID],0)),"酒款ID未找到"))</f>
        <v>黑龍</v>
      </c>
      <c r="D155" s="8" t="str">
        <f>IF(B155="","",IFERROR(INDEX(SakesV5[酒款],MATCH(B155,SakesV5[酒款ID],0)),"酒款ID未找到"))</f>
        <v>Crystal Dragon</v>
      </c>
      <c r="E155" s="8"/>
      <c r="F155" s="8" t="s">
        <v>793</v>
      </c>
      <c r="G155" s="8" t="s">
        <v>804</v>
      </c>
      <c r="H155" s="9"/>
      <c r="I155" s="9"/>
      <c r="J155" s="22"/>
      <c r="K155" s="22"/>
      <c r="L155" s="10"/>
      <c r="M155" s="18">
        <v>720</v>
      </c>
      <c r="N155" s="9" t="s">
        <v>1215</v>
      </c>
      <c r="O155" s="11"/>
      <c r="P155" s="10"/>
      <c r="Q155" s="8"/>
      <c r="R155" s="8"/>
      <c r="S155" s="9"/>
      <c r="T155" s="8"/>
      <c r="U155" s="8"/>
      <c r="V155" s="8"/>
      <c r="W155" s="8"/>
      <c r="X155" s="11"/>
      <c r="Y155" s="8"/>
      <c r="Z155" s="8"/>
      <c r="AA155" s="9"/>
    </row>
    <row r="156" spans="1:27" ht="57.95" customHeight="1">
      <c r="A156" s="8" t="s">
        <v>993</v>
      </c>
      <c r="B156" s="8" t="s">
        <v>542</v>
      </c>
      <c r="C156" s="8" t="str">
        <f>IF(B156="","",IFERROR(INDEX(SakesV5[銘柄],MATCH(B156,SakesV5[酒款ID],0)),"酒款ID未找到"))</f>
        <v>鳳凰美田</v>
      </c>
      <c r="D156" s="8" t="str">
        <f>IF(B156="","",IFERROR(INDEX(SakesV5[酒款],MATCH(B156,SakesV5[酒款ID],0)),"酒款ID未找到"))</f>
        <v>黑鳳凰 純米吟釀</v>
      </c>
      <c r="E156" s="8"/>
      <c r="F156" s="8" t="s">
        <v>793</v>
      </c>
      <c r="G156" s="8" t="s">
        <v>794</v>
      </c>
      <c r="H156" s="9"/>
      <c r="I156" s="9"/>
      <c r="J156" s="22"/>
      <c r="K156" s="22"/>
      <c r="L156" s="10"/>
      <c r="M156" s="18">
        <v>720</v>
      </c>
      <c r="N156" s="8" t="s">
        <v>846</v>
      </c>
      <c r="O156" s="11"/>
      <c r="P156" s="10"/>
      <c r="Q156" s="8"/>
      <c r="R156" s="8"/>
      <c r="S156" s="9"/>
      <c r="T156" s="8"/>
      <c r="U156" s="8"/>
      <c r="V156" s="8"/>
      <c r="W156" s="8"/>
      <c r="X156" s="11"/>
      <c r="Y156" s="8"/>
      <c r="Z156" s="8"/>
      <c r="AA156" s="9"/>
    </row>
    <row r="157" spans="1:27" ht="57.95" customHeight="1">
      <c r="A157" s="8" t="s">
        <v>994</v>
      </c>
      <c r="B157" s="8" t="s">
        <v>547</v>
      </c>
      <c r="C157" s="8" t="str">
        <f>IF(B157="","",IFERROR(INDEX(SakesV5[銘柄],MATCH(B157,SakesV5[酒款ID],0)),"酒款ID未找到"))</f>
        <v>出羽櫻</v>
      </c>
      <c r="D157" s="8" t="str">
        <f>IF(B157="","",IFERROR(INDEX(SakesV5[酒款],MATCH(B157,SakesV5[酒款ID],0)),"酒款ID未找到"))</f>
        <v>純米大吟釀 雪女神 四割八分 火入れ</v>
      </c>
      <c r="E157" s="8"/>
      <c r="F157" s="8" t="s">
        <v>793</v>
      </c>
      <c r="G157" s="8" t="s">
        <v>804</v>
      </c>
      <c r="H157" s="47" t="s">
        <v>1173</v>
      </c>
      <c r="I157" s="9"/>
      <c r="J157" s="22"/>
      <c r="K157" s="22"/>
      <c r="L157" s="10"/>
      <c r="M157" s="18">
        <v>720</v>
      </c>
      <c r="N157" s="39" t="s">
        <v>1168</v>
      </c>
      <c r="O157" s="11"/>
      <c r="P157" s="10"/>
      <c r="Q157" s="8"/>
      <c r="R157" s="8"/>
      <c r="S157" s="9"/>
      <c r="T157" s="8"/>
      <c r="U157" s="8"/>
      <c r="V157" s="8"/>
      <c r="W157" s="8"/>
      <c r="X157" s="11"/>
      <c r="Y157" s="8"/>
      <c r="Z157" s="8"/>
      <c r="AA157" s="9"/>
    </row>
    <row r="158" spans="1:27" ht="57.95" customHeight="1">
      <c r="A158" s="8" t="s">
        <v>995</v>
      </c>
      <c r="B158" s="8" t="s">
        <v>551</v>
      </c>
      <c r="C158" s="8" t="str">
        <f>IF(B158="","",IFERROR(INDEX(SakesV5[銘柄],MATCH(B158,SakesV5[酒款ID],0)),"酒款ID未找到"))</f>
        <v>山形正宗</v>
      </c>
      <c r="D158" s="8" t="str">
        <f>IF(B158="","",IFERROR(INDEX(SakesV5[酒款],MATCH(B158,SakesV5[酒款ID],0)),"酒款ID未找到"))</f>
        <v>純米 雄町 生酛</v>
      </c>
      <c r="E158" s="8"/>
      <c r="F158" s="8" t="s">
        <v>793</v>
      </c>
      <c r="G158" s="8" t="s">
        <v>804</v>
      </c>
      <c r="H158" s="9"/>
      <c r="I158" s="9"/>
      <c r="J158" s="22"/>
      <c r="K158" s="22"/>
      <c r="L158" s="10"/>
      <c r="M158" s="18">
        <v>720</v>
      </c>
      <c r="N158" s="39" t="s">
        <v>1168</v>
      </c>
      <c r="O158" s="11"/>
      <c r="P158" s="10"/>
      <c r="Q158" s="8"/>
      <c r="R158" s="8"/>
      <c r="S158" s="9"/>
      <c r="T158" s="8"/>
      <c r="U158" s="8"/>
      <c r="V158" s="8"/>
      <c r="W158" s="8"/>
      <c r="X158" s="11"/>
      <c r="Y158" s="8"/>
      <c r="Z158" s="8"/>
      <c r="AA158" s="9"/>
    </row>
    <row r="159" spans="1:27" ht="57.95" customHeight="1">
      <c r="A159" s="8" t="s">
        <v>996</v>
      </c>
      <c r="B159" s="8" t="s">
        <v>553</v>
      </c>
      <c r="C159" s="8" t="str">
        <f>IF(B159="","",IFERROR(INDEX(SakesV5[銘柄],MATCH(B159,SakesV5[酒款ID],0)),"酒款ID未找到"))</f>
        <v>末廣</v>
      </c>
      <c r="D159" s="8" t="str">
        <f>IF(B159="","",IFERROR(INDEX(SakesV5[酒款],MATCH(B159,SakesV5[酒款ID],0)),"酒款ID未找到"))</f>
        <v>夢の香</v>
      </c>
      <c r="E159" s="8"/>
      <c r="F159" s="8" t="s">
        <v>779</v>
      </c>
      <c r="G159" s="8" t="s">
        <v>794</v>
      </c>
      <c r="H159" s="9"/>
      <c r="I159" s="9"/>
      <c r="J159" s="22"/>
      <c r="K159" s="22"/>
      <c r="L159" s="10"/>
      <c r="M159" s="18">
        <v>720</v>
      </c>
      <c r="N159" s="39" t="s">
        <v>1182</v>
      </c>
      <c r="O159" s="11"/>
      <c r="P159" s="10"/>
      <c r="Q159" s="8"/>
      <c r="R159" s="8"/>
      <c r="S159" s="9"/>
      <c r="T159" s="8"/>
      <c r="U159" s="8"/>
      <c r="V159" s="8"/>
      <c r="W159" s="8"/>
      <c r="X159" s="11"/>
      <c r="Y159" s="8"/>
      <c r="Z159" s="8"/>
      <c r="AA159" s="9"/>
    </row>
    <row r="160" spans="1:27" ht="57.95" customHeight="1">
      <c r="A160" s="8" t="s">
        <v>997</v>
      </c>
      <c r="B160" s="8" t="s">
        <v>556</v>
      </c>
      <c r="C160" s="8" t="str">
        <f>IF(B160="","",IFERROR(INDEX(SakesV5[銘柄],MATCH(B160,SakesV5[酒款ID],0)),"酒款ID未找到"))</f>
        <v>吉田藏 u</v>
      </c>
      <c r="D160" s="8" t="str">
        <f>IF(B160="","",IFERROR(INDEX(SakesV5[酒款],MATCH(B160,SakesV5[酒款ID],0)),"酒款ID未找到"))</f>
        <v>百万石乃白 山廢 純米酒</v>
      </c>
      <c r="E160" s="8"/>
      <c r="F160" s="8" t="s">
        <v>1216</v>
      </c>
      <c r="G160" s="8" t="s">
        <v>780</v>
      </c>
      <c r="H160" s="9"/>
      <c r="I160" s="9"/>
      <c r="J160" s="22"/>
      <c r="K160" s="22"/>
      <c r="L160" s="10"/>
      <c r="M160" s="18"/>
      <c r="N160" s="9" t="s">
        <v>1215</v>
      </c>
      <c r="O160" s="11"/>
      <c r="P160" s="10"/>
      <c r="Q160" s="8"/>
      <c r="R160" s="8"/>
      <c r="S160" s="9"/>
      <c r="T160" s="8"/>
      <c r="U160" s="8"/>
      <c r="V160" s="8"/>
      <c r="W160" s="8"/>
      <c r="X160" s="11"/>
      <c r="Y160" s="8"/>
      <c r="Z160" s="8" t="s">
        <v>823</v>
      </c>
      <c r="AA160" s="9"/>
    </row>
    <row r="161" spans="1:27" ht="57.95" customHeight="1">
      <c r="A161" s="8" t="s">
        <v>998</v>
      </c>
      <c r="B161" s="8" t="s">
        <v>560</v>
      </c>
      <c r="C161" s="8" t="str">
        <f>IF(B161="","",IFERROR(INDEX(SakesV5[銘柄],MATCH(B161,SakesV5[酒款ID],0)),"酒款ID未找到"))</f>
        <v>吉田藏 u</v>
      </c>
      <c r="D161" s="8" t="str">
        <f>IF(B161="","",IFERROR(INDEX(SakesV5[酒款],MATCH(B161,SakesV5[酒款ID],0)),"酒款ID未找到"))</f>
        <v>巾着 純米吟釀</v>
      </c>
      <c r="E161" s="8" t="s">
        <v>884</v>
      </c>
      <c r="F161" s="8" t="s">
        <v>793</v>
      </c>
      <c r="G161" s="8" t="s">
        <v>794</v>
      </c>
      <c r="H161" s="14" t="s">
        <v>808</v>
      </c>
      <c r="I161" s="9"/>
      <c r="J161" s="22">
        <v>3.8</v>
      </c>
      <c r="K161" s="22">
        <v>3.8</v>
      </c>
      <c r="L161" s="10"/>
      <c r="M161" s="18">
        <v>720</v>
      </c>
      <c r="N161" s="9" t="s">
        <v>1215</v>
      </c>
      <c r="O161" s="8" t="s">
        <v>884</v>
      </c>
      <c r="P161" s="10">
        <v>1790</v>
      </c>
      <c r="Q161" s="8" t="s">
        <v>787</v>
      </c>
      <c r="R161" s="8" t="s">
        <v>795</v>
      </c>
      <c r="S161" s="9"/>
      <c r="T161" s="8"/>
      <c r="U161" s="8"/>
      <c r="V161" s="8"/>
      <c r="W161" s="8"/>
      <c r="X161" s="11" t="s">
        <v>935</v>
      </c>
      <c r="Y161" s="8"/>
      <c r="Z161" s="8" t="s">
        <v>823</v>
      </c>
      <c r="AA161" s="9"/>
    </row>
    <row r="162" spans="1:27" ht="57.95" customHeight="1">
      <c r="A162" s="8" t="s">
        <v>999</v>
      </c>
      <c r="B162" s="8" t="s">
        <v>568</v>
      </c>
      <c r="C162" s="8" t="str">
        <f>IF(B162="","",IFERROR(INDEX(SakesV5[銘柄],MATCH(B162,SakesV5[酒款ID],0)),"酒款ID未找到"))</f>
        <v>仙禽</v>
      </c>
      <c r="D162" s="8" t="str">
        <f>IF(B162="","",IFERROR(INDEX(SakesV5[酒款],MATCH(B162,SakesV5[酒款ID],0)),"酒款ID未找到"))</f>
        <v>鶴鳴 麗</v>
      </c>
      <c r="E162" s="8" t="s">
        <v>897</v>
      </c>
      <c r="F162" s="8" t="s">
        <v>793</v>
      </c>
      <c r="G162" s="8" t="s">
        <v>794</v>
      </c>
      <c r="H162" s="15" t="s">
        <v>1000</v>
      </c>
      <c r="I162" s="9"/>
      <c r="J162" s="22"/>
      <c r="K162" s="22"/>
      <c r="L162" s="10"/>
      <c r="M162" s="18">
        <v>720</v>
      </c>
      <c r="N162" s="8" t="s">
        <v>944</v>
      </c>
      <c r="O162" s="11"/>
      <c r="P162" s="10"/>
      <c r="Q162" s="8"/>
      <c r="R162" s="8"/>
      <c r="S162" s="9"/>
      <c r="T162" s="8"/>
      <c r="U162" s="8"/>
      <c r="V162" s="8"/>
      <c r="W162" s="8"/>
      <c r="X162" s="11"/>
      <c r="Y162" s="8"/>
      <c r="Z162" s="8"/>
      <c r="AA162" s="9"/>
    </row>
    <row r="163" spans="1:27" ht="57.95" customHeight="1">
      <c r="A163" s="8" t="s">
        <v>1001</v>
      </c>
      <c r="B163" s="8" t="s">
        <v>572</v>
      </c>
      <c r="C163" s="8" t="str">
        <f>IF(B163="","",IFERROR(INDEX(SakesV5[銘柄],MATCH(B163,SakesV5[酒款ID],0)),"酒款ID未找到"))</f>
        <v>仙禽</v>
      </c>
      <c r="D163" s="8" t="str">
        <f>IF(B163="","",IFERROR(INDEX(SakesV5[酒款],MATCH(B163,SakesV5[酒款ID],0)),"酒款ID未找到"))</f>
        <v>2026 夏日獨角仙 KABUTOMUSHI 純米大吟釀</v>
      </c>
      <c r="E163" s="8"/>
      <c r="F163" s="8" t="s">
        <v>779</v>
      </c>
      <c r="G163" s="8" t="s">
        <v>794</v>
      </c>
      <c r="H163" s="9"/>
      <c r="I163" s="9"/>
      <c r="J163" s="22"/>
      <c r="K163" s="22"/>
      <c r="L163" s="10"/>
      <c r="M163" s="18"/>
      <c r="N163" s="9" t="s">
        <v>1215</v>
      </c>
      <c r="O163" s="11"/>
      <c r="P163" s="10"/>
      <c r="Q163" s="8"/>
      <c r="R163" s="8"/>
      <c r="S163" s="9"/>
      <c r="T163" s="8"/>
      <c r="U163" s="8"/>
      <c r="V163" s="8"/>
      <c r="W163" s="8"/>
      <c r="X163" s="11"/>
      <c r="Y163" s="8"/>
      <c r="Z163" s="8"/>
      <c r="AA163" s="9"/>
    </row>
    <row r="164" spans="1:27" ht="57.95" customHeight="1">
      <c r="A164" s="8" t="s">
        <v>1002</v>
      </c>
      <c r="B164" s="8" t="s">
        <v>574</v>
      </c>
      <c r="C164" s="8" t="str">
        <f>IF(B164="","",IFERROR(INDEX(SakesV5[銘柄],MATCH(B164,SakesV5[酒款ID],0)),"酒款ID未找到"))</f>
        <v>仙禽</v>
      </c>
      <c r="D164" s="8" t="str">
        <f>IF(B164="","",IFERROR(INDEX(SakesV5[酒款],MATCH(B164,SakesV5[酒款ID],0)),"酒款ID未找到"))</f>
        <v>RETRO 零式 生酒</v>
      </c>
      <c r="E164" s="8"/>
      <c r="F164" s="8" t="s">
        <v>793</v>
      </c>
      <c r="G164" s="8" t="s">
        <v>794</v>
      </c>
      <c r="H164" s="47" t="s">
        <v>1173</v>
      </c>
      <c r="I164" s="9"/>
      <c r="J164" s="22"/>
      <c r="K164" s="22"/>
      <c r="L164" s="10"/>
      <c r="M164" s="18">
        <v>720</v>
      </c>
      <c r="N164" s="8" t="s">
        <v>944</v>
      </c>
      <c r="O164" s="11"/>
      <c r="P164" s="10"/>
      <c r="Q164" s="8"/>
      <c r="R164" s="8"/>
      <c r="S164" s="9"/>
      <c r="T164" s="8"/>
      <c r="U164" s="8"/>
      <c r="V164" s="8"/>
      <c r="W164" s="8"/>
      <c r="X164" s="11"/>
      <c r="Y164" s="8"/>
      <c r="Z164" s="8"/>
      <c r="AA164" s="9"/>
    </row>
    <row r="165" spans="1:27" ht="57.95" customHeight="1">
      <c r="A165" s="8" t="s">
        <v>1003</v>
      </c>
      <c r="B165" s="8" t="s">
        <v>577</v>
      </c>
      <c r="C165" s="8" t="str">
        <f>IF(B165="","",IFERROR(INDEX(SakesV5[銘柄],MATCH(B165,SakesV5[酒款ID],0)),"酒款ID未找到"))</f>
        <v>仙禽</v>
      </c>
      <c r="D165" s="8" t="str">
        <f>IF(B165="","",IFERROR(INDEX(SakesV5[酒款],MATCH(B165,SakesV5[酒款ID],0)),"酒款ID未找到"))</f>
        <v>Nature</v>
      </c>
      <c r="E165" s="8" t="s">
        <v>1197</v>
      </c>
      <c r="F165" s="8" t="s">
        <v>793</v>
      </c>
      <c r="G165" s="8" t="s">
        <v>794</v>
      </c>
      <c r="H165" s="47" t="s">
        <v>1173</v>
      </c>
      <c r="I165" s="9"/>
      <c r="J165" s="22"/>
      <c r="K165" s="22"/>
      <c r="L165" s="10"/>
      <c r="M165" s="18">
        <v>720</v>
      </c>
      <c r="N165" s="8" t="s">
        <v>944</v>
      </c>
      <c r="O165" s="11" t="s">
        <v>1207</v>
      </c>
      <c r="P165" s="10">
        <v>1450</v>
      </c>
      <c r="Q165" s="8" t="s">
        <v>787</v>
      </c>
      <c r="R165" s="8" t="s">
        <v>795</v>
      </c>
      <c r="S165" s="9"/>
      <c r="T165" s="8"/>
      <c r="U165" s="8"/>
      <c r="V165" s="8"/>
      <c r="W165" s="8"/>
      <c r="X165" s="11"/>
      <c r="Y165" s="8"/>
      <c r="Z165" s="8"/>
      <c r="AA165" s="9"/>
    </row>
    <row r="166" spans="1:27" ht="57.95" customHeight="1">
      <c r="A166" s="8" t="s">
        <v>1004</v>
      </c>
      <c r="B166" s="8" t="s">
        <v>580</v>
      </c>
      <c r="C166" s="8" t="str">
        <f>IF(B166="","",IFERROR(INDEX(SakesV5[銘柄],MATCH(B166,SakesV5[酒款ID],0)),"酒款ID未找到"))</f>
        <v>駒泉</v>
      </c>
      <c r="D166" s="8" t="str">
        <f>IF(B166="","",IFERROR(INDEX(SakesV5[酒款],MATCH(B166,SakesV5[酒款ID],0)),"酒款ID未找到"))</f>
        <v>うまうまシリーズ 八甲田牛 吟醸原酒</v>
      </c>
      <c r="E166" s="8"/>
      <c r="F166" s="8" t="s">
        <v>793</v>
      </c>
      <c r="G166" s="8" t="s">
        <v>804</v>
      </c>
      <c r="H166" s="9"/>
      <c r="I166" s="9"/>
      <c r="J166" s="22"/>
      <c r="K166" s="22"/>
      <c r="L166" s="10"/>
      <c r="M166" s="18">
        <v>720</v>
      </c>
      <c r="N166" s="8" t="s">
        <v>1187</v>
      </c>
      <c r="O166" s="11"/>
      <c r="P166" s="10"/>
      <c r="Q166" s="8"/>
      <c r="R166" s="8"/>
      <c r="S166" s="9"/>
      <c r="T166" s="8"/>
      <c r="U166" s="8"/>
      <c r="V166" s="8"/>
      <c r="W166" s="8"/>
      <c r="X166" s="11"/>
      <c r="Y166" s="8"/>
      <c r="Z166" s="8"/>
      <c r="AA166" s="9"/>
    </row>
    <row r="167" spans="1:27" ht="57.95" customHeight="1">
      <c r="A167" s="8" t="s">
        <v>1005</v>
      </c>
      <c r="B167" s="8" t="s">
        <v>584</v>
      </c>
      <c r="C167" s="8" t="str">
        <f>IF(B167="","",IFERROR(INDEX(SakesV5[銘柄],MATCH(B167,SakesV5[酒款ID],0)),"酒款ID未找到"))</f>
        <v>王祿</v>
      </c>
      <c r="D167" s="8" t="str">
        <f>IF(B167="","",IFERROR(INDEX(SakesV5[酒款],MATCH(B167,SakesV5[酒款ID],0)),"酒款ID未找到"))</f>
        <v>「溪」2024 ★</v>
      </c>
      <c r="E167" s="8"/>
      <c r="F167" s="8" t="s">
        <v>779</v>
      </c>
      <c r="G167" s="8" t="s">
        <v>780</v>
      </c>
      <c r="H167" s="9"/>
      <c r="I167" s="9"/>
      <c r="J167" s="22"/>
      <c r="K167" s="22"/>
      <c r="L167" s="10"/>
      <c r="M167" s="18"/>
      <c r="N167" s="9" t="s">
        <v>1215</v>
      </c>
      <c r="O167" s="11"/>
      <c r="P167" s="10"/>
      <c r="Q167" s="8"/>
      <c r="R167" s="8"/>
      <c r="S167" s="9"/>
      <c r="T167" s="8"/>
      <c r="U167" s="8"/>
      <c r="V167" s="8"/>
      <c r="W167" s="8"/>
      <c r="X167" s="11"/>
      <c r="Y167" s="8"/>
      <c r="Z167" s="8"/>
      <c r="AA167" s="9"/>
    </row>
    <row r="168" spans="1:27" ht="57.95" customHeight="1">
      <c r="A168" s="8" t="s">
        <v>1006</v>
      </c>
      <c r="B168" s="8" t="s">
        <v>589</v>
      </c>
      <c r="C168" s="8" t="str">
        <f>IF(B168="","",IFERROR(INDEX(SakesV5[銘柄],MATCH(B168,SakesV5[酒款ID],0)),"酒款ID未找到"))</f>
        <v>王祿</v>
      </c>
      <c r="D168" s="8" t="str">
        <f>IF(B168="","",IFERROR(INDEX(SakesV5[酒款],MATCH(B168,SakesV5[酒款ID],0)),"酒款ID未找到"))</f>
        <v>超 王祿 2024★</v>
      </c>
      <c r="E168" s="8"/>
      <c r="F168" s="8" t="s">
        <v>779</v>
      </c>
      <c r="G168" s="8" t="s">
        <v>780</v>
      </c>
      <c r="H168" s="9"/>
      <c r="I168" s="9"/>
      <c r="J168" s="22"/>
      <c r="K168" s="22"/>
      <c r="L168" s="10"/>
      <c r="M168" s="18"/>
      <c r="N168" s="9" t="s">
        <v>1215</v>
      </c>
      <c r="O168" s="11"/>
      <c r="P168" s="10"/>
      <c r="Q168" s="8"/>
      <c r="R168" s="8"/>
      <c r="S168" s="9"/>
      <c r="T168" s="8"/>
      <c r="U168" s="8"/>
      <c r="V168" s="8"/>
      <c r="W168" s="8"/>
      <c r="X168" s="11"/>
      <c r="Y168" s="8"/>
      <c r="Z168" s="8"/>
      <c r="AA168" s="9"/>
    </row>
    <row r="169" spans="1:27" ht="57.95" customHeight="1">
      <c r="A169" s="8" t="s">
        <v>1007</v>
      </c>
      <c r="B169" s="8" t="s">
        <v>591</v>
      </c>
      <c r="C169" s="8" t="str">
        <f>IF(B169="","",IFERROR(INDEX(SakesV5[銘柄],MATCH(B169,SakesV5[酒款ID],0)),"酒款ID未找到"))</f>
        <v>王祿</v>
      </c>
      <c r="D169" s="8" t="str">
        <f>IF(B169="","",IFERROR(INDEX(SakesV5[酒款],MATCH(B169,SakesV5[酒款ID],0)),"酒款ID未找到"))</f>
        <v>王祿「八〇」2023 ★★★</v>
      </c>
      <c r="E169" s="8"/>
      <c r="F169" s="8" t="s">
        <v>779</v>
      </c>
      <c r="G169" s="8" t="s">
        <v>780</v>
      </c>
      <c r="H169" s="9"/>
      <c r="I169" s="9"/>
      <c r="J169" s="22"/>
      <c r="K169" s="22"/>
      <c r="L169" s="10"/>
      <c r="M169" s="18"/>
      <c r="N169" s="9" t="s">
        <v>1215</v>
      </c>
      <c r="O169" s="11"/>
      <c r="P169" s="10"/>
      <c r="Q169" s="8"/>
      <c r="R169" s="8"/>
      <c r="S169" s="9"/>
      <c r="T169" s="8"/>
      <c r="U169" s="8"/>
      <c r="V169" s="8"/>
      <c r="W169" s="8"/>
      <c r="X169" s="11"/>
      <c r="Y169" s="8"/>
      <c r="Z169" s="8"/>
      <c r="AA169" s="9"/>
    </row>
    <row r="170" spans="1:27" ht="57.95" customHeight="1">
      <c r="A170" s="8" t="s">
        <v>1008</v>
      </c>
      <c r="B170" s="8" t="s">
        <v>593</v>
      </c>
      <c r="C170" s="8" t="str">
        <f>IF(B170="","",IFERROR(INDEX(SakesV5[銘柄],MATCH(B170,SakesV5[酒款ID],0)),"酒款ID未找到"))</f>
        <v>浦霞</v>
      </c>
      <c r="D170" s="8" t="str">
        <f>IF(B170="","",IFERROR(INDEX(SakesV5[酒款],MATCH(B170,SakesV5[酒款ID],0)),"酒款ID未找到"))</f>
        <v>純米生酒</v>
      </c>
      <c r="E170" s="8"/>
      <c r="F170" s="8" t="s">
        <v>779</v>
      </c>
      <c r="G170" s="8" t="s">
        <v>794</v>
      </c>
      <c r="H170" s="9"/>
      <c r="I170" s="9"/>
      <c r="J170" s="22"/>
      <c r="K170" s="22"/>
      <c r="L170" s="10"/>
      <c r="M170" s="18"/>
      <c r="N170" s="9" t="s">
        <v>1215</v>
      </c>
      <c r="O170" s="11"/>
      <c r="P170" s="10"/>
      <c r="Q170" s="8"/>
      <c r="R170" s="8"/>
      <c r="S170" s="9"/>
      <c r="T170" s="8"/>
      <c r="U170" s="8"/>
      <c r="V170" s="8"/>
      <c r="W170" s="8"/>
      <c r="X170" s="11"/>
      <c r="Y170" s="8"/>
      <c r="Z170" s="8"/>
      <c r="AA170" s="9"/>
    </row>
    <row r="171" spans="1:27" ht="57.95" customHeight="1">
      <c r="A171" s="8" t="s">
        <v>1009</v>
      </c>
      <c r="B171" s="8" t="s">
        <v>598</v>
      </c>
      <c r="C171" s="8" t="str">
        <f>IF(B171="","",IFERROR(INDEX(SakesV5[銘柄],MATCH(B171,SakesV5[酒款ID],0)),"酒款ID未找到"))</f>
        <v>天明</v>
      </c>
      <c r="D171" s="8" t="str">
        <f>IF(B171="","",IFERROR(INDEX(SakesV5[酒款],MATCH(B171,SakesV5[酒款ID],0)),"酒款ID未找到"))</f>
        <v>さらさら純米 打上花火 fireworks</v>
      </c>
      <c r="E171" s="8"/>
      <c r="F171" s="8" t="s">
        <v>779</v>
      </c>
      <c r="G171" s="8" t="s">
        <v>794</v>
      </c>
      <c r="H171" s="9"/>
      <c r="I171" s="9"/>
      <c r="J171" s="22"/>
      <c r="K171" s="22"/>
      <c r="L171" s="10"/>
      <c r="M171" s="18"/>
      <c r="N171" s="9" t="s">
        <v>1215</v>
      </c>
      <c r="O171" s="11"/>
      <c r="P171" s="10"/>
      <c r="Q171" s="8"/>
      <c r="R171" s="8"/>
      <c r="S171" s="9"/>
      <c r="T171" s="8"/>
      <c r="U171" s="8"/>
      <c r="V171" s="8"/>
      <c r="W171" s="8"/>
      <c r="X171" s="11"/>
      <c r="Y171" s="8"/>
      <c r="Z171" s="8"/>
      <c r="AA171" s="9"/>
    </row>
    <row r="172" spans="1:27" ht="57.95" customHeight="1">
      <c r="A172" s="8" t="s">
        <v>1010</v>
      </c>
      <c r="B172" s="8" t="s">
        <v>602</v>
      </c>
      <c r="C172" s="8" t="str">
        <f>IF(B172="","",IFERROR(INDEX(SakesV5[銘柄],MATCH(B172,SakesV5[酒款ID],0)),"酒款ID未找到"))</f>
        <v>城陽</v>
      </c>
      <c r="D172" s="8" t="str">
        <f>IF(B172="","",IFERROR(INDEX(SakesV5[酒款],MATCH(B172,SakesV5[酒款ID],0)),"酒款ID未找到"))</f>
        <v>純米吟醸55 青ラベル 山田錦</v>
      </c>
      <c r="E172" s="8"/>
      <c r="F172" s="8" t="s">
        <v>779</v>
      </c>
      <c r="G172" s="8" t="s">
        <v>794</v>
      </c>
      <c r="H172" s="9"/>
      <c r="I172" s="9"/>
      <c r="J172" s="22"/>
      <c r="K172" s="22"/>
      <c r="L172" s="10"/>
      <c r="M172" s="18"/>
      <c r="N172" s="9" t="s">
        <v>1215</v>
      </c>
      <c r="O172" s="11"/>
      <c r="P172" s="10"/>
      <c r="Q172" s="8"/>
      <c r="R172" s="8"/>
      <c r="S172" s="9"/>
      <c r="T172" s="8"/>
      <c r="U172" s="8"/>
      <c r="V172" s="8"/>
      <c r="W172" s="8"/>
      <c r="X172" s="11"/>
      <c r="Y172" s="8"/>
      <c r="Z172" s="8"/>
      <c r="AA172" s="9"/>
    </row>
    <row r="173" spans="1:27" ht="57.95" customHeight="1">
      <c r="A173" s="8" t="s">
        <v>1011</v>
      </c>
      <c r="B173" s="8" t="s">
        <v>606</v>
      </c>
      <c r="C173" s="8" t="str">
        <f>IF(B173="","",IFERROR(INDEX(SakesV5[銘柄],MATCH(B173,SakesV5[酒款ID],0)),"酒款ID未找到"))</f>
        <v>作</v>
      </c>
      <c r="D173" s="8" t="str">
        <f>IF(B173="","",IFERROR(INDEX(SakesV5[酒款],MATCH(B173,SakesV5[酒款ID],0)),"酒款ID未找到"))</f>
        <v>神の穂 2024 純米吟醸</v>
      </c>
      <c r="E173" s="8" t="s">
        <v>935</v>
      </c>
      <c r="F173" s="8" t="s">
        <v>779</v>
      </c>
      <c r="G173" s="8" t="s">
        <v>1012</v>
      </c>
      <c r="H173" s="13" t="s">
        <v>1013</v>
      </c>
      <c r="I173" s="9"/>
      <c r="J173" s="22"/>
      <c r="K173" s="22"/>
      <c r="L173" s="10"/>
      <c r="M173" s="18"/>
      <c r="N173" s="46" t="s">
        <v>1174</v>
      </c>
      <c r="O173" s="11"/>
      <c r="P173" s="10"/>
      <c r="Q173" s="8"/>
      <c r="R173" s="8"/>
      <c r="S173" s="9"/>
      <c r="T173" s="8"/>
      <c r="U173" s="8"/>
      <c r="V173" s="8"/>
      <c r="W173" s="8"/>
      <c r="X173" s="11"/>
      <c r="Y173" s="8"/>
      <c r="Z173" s="8"/>
      <c r="AA173" s="9"/>
    </row>
    <row r="174" spans="1:27" ht="57.95" customHeight="1">
      <c r="A174" s="8" t="s">
        <v>1014</v>
      </c>
      <c r="B174" s="8" t="s">
        <v>611</v>
      </c>
      <c r="C174" s="8" t="str">
        <f>IF(B174="","",IFERROR(INDEX(SakesV5[銘柄],MATCH(B174,SakesV5[酒款ID],0)),"酒款ID未找到"))</f>
        <v>會津龍澤</v>
      </c>
      <c r="D174" s="8" t="str">
        <f>IF(B174="","",IFERROR(INDEX(SakesV5[酒款],MATCH(B174,SakesV5[酒款ID],0)),"酒款ID未找到"))</f>
        <v>純米吟釀 超辛口+20</v>
      </c>
      <c r="E174" s="8" t="s">
        <v>935</v>
      </c>
      <c r="F174" s="8" t="s">
        <v>779</v>
      </c>
      <c r="G174" s="8" t="s">
        <v>1012</v>
      </c>
      <c r="H174" s="13" t="s">
        <v>1013</v>
      </c>
      <c r="I174" s="9"/>
      <c r="J174" s="22"/>
      <c r="K174" s="22"/>
      <c r="L174" s="10"/>
      <c r="M174" s="18"/>
      <c r="N174" s="46" t="s">
        <v>1174</v>
      </c>
      <c r="O174" s="11"/>
      <c r="P174" s="10"/>
      <c r="Q174" s="8"/>
      <c r="R174" s="8"/>
      <c r="S174" s="9"/>
      <c r="T174" s="8"/>
      <c r="U174" s="8"/>
      <c r="V174" s="8"/>
      <c r="W174" s="8"/>
      <c r="X174" s="11"/>
      <c r="Y174" s="8"/>
      <c r="Z174" s="8"/>
      <c r="AA174" s="9"/>
    </row>
    <row r="175" spans="1:27" ht="57.95" customHeight="1">
      <c r="A175" s="8" t="s">
        <v>1015</v>
      </c>
      <c r="B175" s="8" t="s">
        <v>615</v>
      </c>
      <c r="C175" s="8" t="str">
        <f>IF(B175="","",IFERROR(INDEX(SakesV5[銘柄],MATCH(B175,SakesV5[酒款ID],0)),"酒款ID未找到"))</f>
        <v>御湖鶴</v>
      </c>
      <c r="D175" s="8" t="str">
        <f>IF(B175="","",IFERROR(INDEX(SakesV5[酒款],MATCH(B175,SakesV5[酒款ID],0)),"酒款ID未找到"))</f>
        <v>純米吟醸 山恵錦 火入れ</v>
      </c>
      <c r="E175" s="8" t="s">
        <v>935</v>
      </c>
      <c r="F175" s="8" t="s">
        <v>779</v>
      </c>
      <c r="G175" s="8" t="s">
        <v>1012</v>
      </c>
      <c r="H175" s="13" t="s">
        <v>1013</v>
      </c>
      <c r="I175" s="9"/>
      <c r="J175" s="22"/>
      <c r="K175" s="22"/>
      <c r="L175" s="10"/>
      <c r="M175" s="18"/>
      <c r="N175" s="46" t="s">
        <v>1174</v>
      </c>
      <c r="O175" s="11"/>
      <c r="P175" s="10"/>
      <c r="Q175" s="8"/>
      <c r="R175" s="8"/>
      <c r="S175" s="9"/>
      <c r="T175" s="8"/>
      <c r="U175" s="8"/>
      <c r="V175" s="8"/>
      <c r="W175" s="8"/>
      <c r="X175" s="11"/>
      <c r="Y175" s="8"/>
      <c r="Z175" s="8"/>
      <c r="AA175" s="9"/>
    </row>
    <row r="176" spans="1:27" ht="57.95" customHeight="1">
      <c r="A176" s="8" t="s">
        <v>1016</v>
      </c>
      <c r="B176" s="8" t="s">
        <v>620</v>
      </c>
      <c r="C176" s="8" t="str">
        <f>IF(B176="","",IFERROR(INDEX(SakesV5[銘柄],MATCH(B176,SakesV5[酒款ID],0)),"酒款ID未找到"))</f>
        <v>白瀧</v>
      </c>
      <c r="D176" s="8" t="str">
        <f>IF(B176="","",IFERROR(INDEX(SakesV5[酒款],MATCH(B176,SakesV5[酒款ID],0)),"酒款ID未找到"))</f>
        <v>SEVEN 純米大吟醸 原酒 50</v>
      </c>
      <c r="E176" s="8" t="s">
        <v>935</v>
      </c>
      <c r="F176" s="8" t="s">
        <v>779</v>
      </c>
      <c r="G176" s="8" t="s">
        <v>794</v>
      </c>
      <c r="H176" s="13" t="s">
        <v>1013</v>
      </c>
      <c r="I176" s="9"/>
      <c r="J176" s="22"/>
      <c r="K176" s="22"/>
      <c r="L176" s="10"/>
      <c r="M176" s="18"/>
      <c r="N176" s="46" t="s">
        <v>1174</v>
      </c>
      <c r="O176" s="11"/>
      <c r="P176" s="10"/>
      <c r="Q176" s="8"/>
      <c r="R176" s="8"/>
      <c r="S176" s="9"/>
      <c r="T176" s="8"/>
      <c r="U176" s="8"/>
      <c r="V176" s="8"/>
      <c r="W176" s="8"/>
      <c r="X176" s="11"/>
      <c r="Y176" s="8"/>
      <c r="Z176" s="8"/>
      <c r="AA176" s="9"/>
    </row>
    <row r="177" spans="1:27" ht="57.95" customHeight="1">
      <c r="A177" s="8" t="s">
        <v>1017</v>
      </c>
      <c r="B177" s="8" t="s">
        <v>624</v>
      </c>
      <c r="C177" s="8" t="str">
        <f>IF(B177="","",IFERROR(INDEX(SakesV5[銘柄],MATCH(B177,SakesV5[酒款ID],0)),"酒款ID未找到"))</f>
        <v>Henge</v>
      </c>
      <c r="D177" s="8" t="str">
        <f>IF(B177="","",IFERROR(INDEX(SakesV5[酒款],MATCH(B177,SakesV5[酒款ID],0)),"酒款ID未找到"))</f>
        <v>「umami」</v>
      </c>
      <c r="E177" s="8" t="s">
        <v>925</v>
      </c>
      <c r="F177" s="8" t="s">
        <v>793</v>
      </c>
      <c r="G177" s="8" t="s">
        <v>794</v>
      </c>
      <c r="H177" s="14" t="s">
        <v>808</v>
      </c>
      <c r="I177" s="9"/>
      <c r="J177" s="22"/>
      <c r="K177" s="22"/>
      <c r="L177" s="10"/>
      <c r="M177" s="18">
        <v>720</v>
      </c>
      <c r="N177" s="8" t="s">
        <v>1188</v>
      </c>
      <c r="O177" s="11"/>
      <c r="P177" s="10"/>
      <c r="Q177" s="8"/>
      <c r="R177" s="8"/>
      <c r="S177" s="9"/>
      <c r="T177" s="8"/>
      <c r="U177" s="8"/>
      <c r="V177" s="8"/>
      <c r="W177" s="8"/>
      <c r="X177" s="11"/>
      <c r="Y177" s="8"/>
      <c r="Z177" s="8"/>
      <c r="AA177" s="9"/>
    </row>
    <row r="178" spans="1:27" ht="57.95" customHeight="1">
      <c r="A178" s="8" t="s">
        <v>1018</v>
      </c>
      <c r="B178" s="8" t="s">
        <v>630</v>
      </c>
      <c r="C178" s="8" t="str">
        <f>IF(B178="","",IFERROR(INDEX(SakesV5[銘柄],MATCH(B178,SakesV5[酒款ID],0)),"酒款ID未找到"))</f>
        <v>花陽浴</v>
      </c>
      <c r="D178" s="8" t="str">
        <f>IF(B178="","",IFERROR(INDEX(SakesV5[酒款],MATCH(B178,SakesV5[酒款ID],0)),"酒款ID未找到"))</f>
        <v>袋吊 純米大吟釀 無濾過 原酒 火入 八反錦</v>
      </c>
      <c r="E178" s="8" t="s">
        <v>935</v>
      </c>
      <c r="F178" s="8" t="s">
        <v>793</v>
      </c>
      <c r="G178" s="8" t="s">
        <v>794</v>
      </c>
      <c r="H178" s="14" t="s">
        <v>808</v>
      </c>
      <c r="I178" s="9"/>
      <c r="J178" s="22"/>
      <c r="K178" s="22"/>
      <c r="L178" s="10"/>
      <c r="M178" s="18">
        <v>720</v>
      </c>
      <c r="N178" s="8" t="s">
        <v>1184</v>
      </c>
      <c r="O178" s="11"/>
      <c r="P178" s="10"/>
      <c r="Q178" s="8"/>
      <c r="R178" s="8"/>
      <c r="S178" s="9"/>
      <c r="T178" s="8"/>
      <c r="U178" s="8"/>
      <c r="V178" s="8"/>
      <c r="W178" s="8"/>
      <c r="X178" s="11"/>
      <c r="Y178" s="8"/>
      <c r="Z178" s="8"/>
      <c r="AA178" s="9"/>
    </row>
    <row r="179" spans="1:27" ht="57.95" customHeight="1">
      <c r="A179" s="8" t="s">
        <v>1019</v>
      </c>
      <c r="B179" s="8" t="s">
        <v>635</v>
      </c>
      <c r="C179" s="8" t="str">
        <f>IF(B179="","",IFERROR(INDEX(SakesV5[銘柄],MATCH(B179,SakesV5[酒款ID],0)),"酒款ID未找到"))</f>
        <v>裏翠玉</v>
      </c>
      <c r="D179" s="8" t="str">
        <f>IF(B179="","",IFERROR(INDEX(SakesV5[酒款],MATCH(B179,SakesV5[酒款ID],0)),"酒款ID未找到"))</f>
        <v>純米吟釀 秋田酒こまち 無過濾 生酒</v>
      </c>
      <c r="E179" s="8" t="s">
        <v>935</v>
      </c>
      <c r="F179" s="8" t="s">
        <v>793</v>
      </c>
      <c r="G179" s="8" t="s">
        <v>780</v>
      </c>
      <c r="H179" s="14" t="s">
        <v>808</v>
      </c>
      <c r="I179" s="9"/>
      <c r="J179" s="22">
        <v>3.5</v>
      </c>
      <c r="K179" s="22">
        <v>4</v>
      </c>
      <c r="L179" s="10"/>
      <c r="M179" s="18">
        <v>720</v>
      </c>
      <c r="N179" s="9" t="s">
        <v>1215</v>
      </c>
      <c r="O179" s="11" t="s">
        <v>884</v>
      </c>
      <c r="P179" s="10">
        <v>1750</v>
      </c>
      <c r="Q179" s="8" t="s">
        <v>787</v>
      </c>
      <c r="R179" s="8" t="s">
        <v>795</v>
      </c>
      <c r="S179" s="15" t="s">
        <v>1020</v>
      </c>
      <c r="T179" s="8"/>
      <c r="U179" s="8"/>
      <c r="V179" s="8"/>
      <c r="W179" s="8"/>
      <c r="X179" s="11"/>
      <c r="Y179" s="8"/>
      <c r="Z179" s="8"/>
      <c r="AA179" s="9"/>
    </row>
    <row r="180" spans="1:27" ht="57.95" customHeight="1">
      <c r="A180" s="8" t="s">
        <v>1021</v>
      </c>
      <c r="B180" s="8" t="s">
        <v>638</v>
      </c>
      <c r="C180" s="8" t="str">
        <f>IF(B180="","",IFERROR(INDEX(SakesV5[銘柄],MATCH(B180,SakesV5[酒款ID],0)),"酒款ID未找到"))</f>
        <v>山崎醸</v>
      </c>
      <c r="D180" s="8" t="str">
        <f>IF(B180="","",IFERROR(INDEX(SakesV5[酒款],MATCH(B180,SakesV5[酒款ID],0)),"酒款ID未找到"))</f>
        <v>夢吟香 DREAM 生酒 純米大吟醸原酒</v>
      </c>
      <c r="E180" s="8" t="s">
        <v>935</v>
      </c>
      <c r="F180" s="8" t="s">
        <v>779</v>
      </c>
      <c r="G180" s="8" t="s">
        <v>1012</v>
      </c>
      <c r="H180" s="12" t="s">
        <v>1013</v>
      </c>
      <c r="I180" s="9"/>
      <c r="J180" s="22"/>
      <c r="K180" s="22"/>
      <c r="L180" s="10"/>
      <c r="M180" s="18"/>
      <c r="N180" s="46" t="s">
        <v>1174</v>
      </c>
      <c r="O180" s="11"/>
      <c r="P180" s="10"/>
      <c r="Q180" s="8"/>
      <c r="R180" s="8"/>
      <c r="S180" s="9"/>
      <c r="T180" s="8"/>
      <c r="U180" s="8"/>
      <c r="V180" s="8"/>
      <c r="W180" s="8"/>
      <c r="X180" s="11"/>
      <c r="Y180" s="8"/>
      <c r="Z180" s="8"/>
      <c r="AA180" s="9"/>
    </row>
    <row r="181" spans="1:27" ht="57.95" customHeight="1">
      <c r="A181" s="8" t="s">
        <v>1022</v>
      </c>
      <c r="B181" s="8" t="s">
        <v>643</v>
      </c>
      <c r="C181" s="8" t="str">
        <f>IF(B181="","",IFERROR(INDEX(SakesV5[銘柄],MATCH(B181,SakesV5[酒款ID],0)),"酒款ID未找到"))</f>
        <v>今西</v>
      </c>
      <c r="D181" s="8" t="str">
        <f>IF(B181="","",IFERROR(INDEX(SakesV5[酒款],MATCH(B181,SakesV5[酒款ID],0)),"酒款ID未找到"))</f>
        <v>純米吟釀 朝日</v>
      </c>
      <c r="E181" s="8"/>
      <c r="F181" s="8" t="s">
        <v>793</v>
      </c>
      <c r="G181" s="8" t="s">
        <v>794</v>
      </c>
      <c r="H181" s="28" t="s">
        <v>808</v>
      </c>
      <c r="I181" s="9"/>
      <c r="J181" s="22"/>
      <c r="K181" s="22"/>
      <c r="L181" s="10"/>
      <c r="M181" s="18">
        <v>720</v>
      </c>
      <c r="N181" s="8" t="s">
        <v>944</v>
      </c>
      <c r="O181" s="11"/>
      <c r="P181" s="10"/>
      <c r="Q181" s="8"/>
      <c r="R181" s="8"/>
      <c r="S181" s="9"/>
      <c r="T181" s="8"/>
      <c r="U181" s="8"/>
      <c r="V181" s="8"/>
      <c r="W181" s="8"/>
      <c r="X181" s="11"/>
      <c r="Y181" s="8"/>
      <c r="Z181" s="8"/>
      <c r="AA181" s="9"/>
    </row>
    <row r="182" spans="1:27" ht="57.95" customHeight="1">
      <c r="A182" s="8" t="s">
        <v>1023</v>
      </c>
      <c r="B182" s="8" t="s">
        <v>651</v>
      </c>
      <c r="C182" s="8" t="str">
        <f>IF(B182="","",IFERROR(INDEX(SakesV5[銘柄],MATCH(B182,SakesV5[酒款ID],0)),"酒款ID未找到"))</f>
        <v>澤乃花</v>
      </c>
      <c r="D182" s="8" t="str">
        <f>IF(B182="","",IFERROR(INDEX(SakesV5[酒款],MATCH(B182,SakesV5[酒款ID],0)),"酒款ID未找到"))</f>
        <v>beau michelle</v>
      </c>
      <c r="E182" s="8" t="s">
        <v>935</v>
      </c>
      <c r="F182" s="8" t="s">
        <v>793</v>
      </c>
      <c r="G182" s="8" t="s">
        <v>804</v>
      </c>
      <c r="H182" s="28" t="s">
        <v>808</v>
      </c>
      <c r="I182" s="9"/>
      <c r="J182" s="22"/>
      <c r="K182" s="22"/>
      <c r="L182" s="10"/>
      <c r="M182" s="18">
        <v>1500</v>
      </c>
      <c r="N182" s="8"/>
      <c r="O182" s="11"/>
      <c r="P182" s="10"/>
      <c r="Q182" s="8"/>
      <c r="R182" s="8"/>
      <c r="S182" s="9"/>
      <c r="T182" s="8"/>
      <c r="U182" s="8"/>
      <c r="V182" s="8"/>
      <c r="W182" s="8"/>
      <c r="X182" s="11"/>
      <c r="Y182" s="8"/>
      <c r="Z182" s="8"/>
      <c r="AA182" s="9"/>
    </row>
    <row r="183" spans="1:27" ht="57.95" customHeight="1">
      <c r="A183" s="8" t="s">
        <v>1024</v>
      </c>
      <c r="B183" s="8" t="s">
        <v>657</v>
      </c>
      <c r="C183" s="8" t="str">
        <f>IF(B183="","",IFERROR(INDEX(SakesV5[銘柄],MATCH(B183,SakesV5[酒款ID],0)),"酒款ID未找到"))</f>
        <v>東洋美人</v>
      </c>
      <c r="D183" s="8" t="str">
        <f>IF(B183="","",IFERROR(INDEX(SakesV5[酒款],MATCH(B183,SakesV5[酒款ID],0)),"酒款ID未找到"))</f>
        <v>醇道一途 愛山 純米吟醸</v>
      </c>
      <c r="E183" s="8" t="s">
        <v>1025</v>
      </c>
      <c r="F183" s="8" t="s">
        <v>793</v>
      </c>
      <c r="G183" s="8" t="s">
        <v>794</v>
      </c>
      <c r="H183" s="28" t="s">
        <v>808</v>
      </c>
      <c r="I183" s="9"/>
      <c r="J183" s="22"/>
      <c r="K183" s="22"/>
      <c r="L183" s="10"/>
      <c r="M183" s="18">
        <v>720</v>
      </c>
      <c r="N183" s="8" t="s">
        <v>849</v>
      </c>
      <c r="O183" s="11" t="s">
        <v>1025</v>
      </c>
      <c r="P183" s="10">
        <v>1680</v>
      </c>
      <c r="Q183" s="8" t="s">
        <v>787</v>
      </c>
      <c r="R183" s="8" t="s">
        <v>795</v>
      </c>
      <c r="S183" s="9"/>
      <c r="T183" s="8"/>
      <c r="U183" s="8"/>
      <c r="V183" s="8"/>
      <c r="W183" s="8"/>
      <c r="X183" s="11"/>
      <c r="Y183" s="8"/>
      <c r="Z183" s="8" t="s">
        <v>823</v>
      </c>
      <c r="AA183" s="9"/>
    </row>
    <row r="184" spans="1:27" ht="57.95" customHeight="1">
      <c r="A184" s="8" t="s">
        <v>1026</v>
      </c>
      <c r="B184" s="8" t="s">
        <v>661</v>
      </c>
      <c r="C184" s="8" t="str">
        <f>IF(B184="","",IFERROR(INDEX(SakesV5[銘柄],MATCH(B184,SakesV5[酒款ID],0)),"酒款ID未找到"))</f>
        <v>土佐鶴</v>
      </c>
      <c r="D184" s="8" t="str">
        <f>IF(B184="","",IFERROR(INDEX(SakesV5[酒款],MATCH(B184,SakesV5[酒款ID],0)),"酒款ID未找到"))</f>
        <v>cel-24純米大吟釀原酒</v>
      </c>
      <c r="E184" s="8"/>
      <c r="F184" s="8" t="s">
        <v>793</v>
      </c>
      <c r="G184" s="8" t="s">
        <v>794</v>
      </c>
      <c r="H184" s="28" t="s">
        <v>808</v>
      </c>
      <c r="I184" s="9"/>
      <c r="J184" s="22"/>
      <c r="K184" s="22"/>
      <c r="L184" s="10"/>
      <c r="M184" s="18">
        <v>720</v>
      </c>
      <c r="N184" s="8"/>
      <c r="O184" s="11"/>
      <c r="P184" s="10"/>
      <c r="Q184" s="8"/>
      <c r="R184" s="8"/>
      <c r="S184" s="9"/>
      <c r="T184" s="8"/>
      <c r="U184" s="8"/>
      <c r="V184" s="8"/>
      <c r="W184" s="8"/>
      <c r="X184" s="11"/>
      <c r="Y184" s="8"/>
      <c r="Z184" s="8"/>
      <c r="AA184" s="9"/>
    </row>
    <row r="185" spans="1:27" ht="57.95" customHeight="1">
      <c r="A185" s="8" t="s">
        <v>1027</v>
      </c>
      <c r="B185" s="8" t="s">
        <v>665</v>
      </c>
      <c r="C185" s="8" t="str">
        <f>IF(B185="","",IFERROR(INDEX(SakesV5[銘柄],MATCH(B185,SakesV5[酒款ID],0)),"酒款ID未找到"))</f>
        <v>鳴門鯛</v>
      </c>
      <c r="D185" s="8" t="str">
        <f>IF(B185="","",IFERROR(INDEX(SakesV5[酒款],MATCH(B185,SakesV5[酒款ID],0)),"酒款ID未找到"))</f>
        <v>純米吟釀 LED</v>
      </c>
      <c r="E185" s="8"/>
      <c r="F185" s="8" t="s">
        <v>793</v>
      </c>
      <c r="G185" s="8" t="s">
        <v>794</v>
      </c>
      <c r="H185" s="28" t="s">
        <v>808</v>
      </c>
      <c r="I185" s="9"/>
      <c r="J185" s="22"/>
      <c r="K185" s="22"/>
      <c r="L185" s="10"/>
      <c r="M185" s="18">
        <v>720</v>
      </c>
      <c r="N185" s="8" t="s">
        <v>1185</v>
      </c>
      <c r="O185" s="11"/>
      <c r="P185" s="10"/>
      <c r="Q185" s="8"/>
      <c r="R185" s="8"/>
      <c r="S185" s="9"/>
      <c r="T185" s="8"/>
      <c r="U185" s="8"/>
      <c r="V185" s="8"/>
      <c r="W185" s="8"/>
      <c r="X185" s="11"/>
      <c r="Y185" s="8"/>
      <c r="Z185" s="8"/>
      <c r="AA185" s="9"/>
    </row>
    <row r="186" spans="1:27" ht="57.95" customHeight="1">
      <c r="A186" s="8" t="s">
        <v>1028</v>
      </c>
      <c r="B186" s="8" t="s">
        <v>671</v>
      </c>
      <c r="C186" s="8" t="str">
        <f>IF(B186="","",IFERROR(INDEX(SakesV5[銘柄],MATCH(B186,SakesV5[酒款ID],0)),"酒款ID未找到"))</f>
        <v>雅樂代</v>
      </c>
      <c r="D186" s="8" t="str">
        <f>IF(B186="","",IFERROR(INDEX(SakesV5[酒款],MATCH(B186,SakesV5[酒款ID],0)),"酒款ID未找到"))</f>
        <v>大野龜</v>
      </c>
      <c r="E186" s="8"/>
      <c r="F186" s="8" t="s">
        <v>793</v>
      </c>
      <c r="G186" s="8" t="s">
        <v>794</v>
      </c>
      <c r="H186" s="28" t="s">
        <v>808</v>
      </c>
      <c r="I186" s="9"/>
      <c r="J186" s="22"/>
      <c r="K186" s="22"/>
      <c r="L186" s="10"/>
      <c r="M186" s="18">
        <v>720</v>
      </c>
      <c r="N186" s="9" t="s">
        <v>1215</v>
      </c>
      <c r="O186" s="11"/>
      <c r="P186" s="10"/>
      <c r="Q186" s="8"/>
      <c r="R186" s="8"/>
      <c r="S186" s="9"/>
      <c r="T186" s="8"/>
      <c r="U186" s="8"/>
      <c r="V186" s="8"/>
      <c r="W186" s="8"/>
      <c r="X186" s="11"/>
      <c r="Y186" s="8"/>
      <c r="Z186" s="8"/>
      <c r="AA186" s="9"/>
    </row>
    <row r="187" spans="1:27" ht="57.95" customHeight="1">
      <c r="A187" s="8" t="s">
        <v>1029</v>
      </c>
      <c r="B187" s="8" t="s">
        <v>676</v>
      </c>
      <c r="C187" s="8" t="str">
        <f>IF(B187="","",IFERROR(INDEX(SakesV5[銘柄],MATCH(B187,SakesV5[酒款ID],0)),"酒款ID未找到"))</f>
        <v>雅樂代</v>
      </c>
      <c r="D187" s="8" t="str">
        <f>IF(B187="","",IFERROR(INDEX(SakesV5[酒款],MATCH(B187,SakesV5[酒款ID],0)),"酒款ID未找到"))</f>
        <v>鳴神</v>
      </c>
      <c r="E187" s="8"/>
      <c r="F187" s="8" t="s">
        <v>793</v>
      </c>
      <c r="G187" s="8" t="s">
        <v>1012</v>
      </c>
      <c r="H187" s="9" t="s">
        <v>1215</v>
      </c>
      <c r="I187" s="9"/>
      <c r="J187" s="22"/>
      <c r="K187" s="22"/>
      <c r="L187" s="10"/>
      <c r="M187" s="18">
        <v>720</v>
      </c>
      <c r="N187" s="9" t="s">
        <v>1215</v>
      </c>
      <c r="O187" s="11"/>
      <c r="P187" s="10"/>
      <c r="Q187" s="8"/>
      <c r="R187" s="8"/>
      <c r="S187" s="9"/>
      <c r="T187" s="8"/>
      <c r="U187" s="8"/>
      <c r="V187" s="8"/>
      <c r="W187" s="8"/>
      <c r="X187" s="11"/>
      <c r="Y187" s="8"/>
      <c r="Z187" s="8"/>
      <c r="AA187" s="9"/>
    </row>
    <row r="188" spans="1:27" ht="57.95" customHeight="1">
      <c r="A188" s="8" t="s">
        <v>1030</v>
      </c>
      <c r="B188" s="8" t="s">
        <v>679</v>
      </c>
      <c r="C188" s="8" t="str">
        <f>IF(B188="","",IFERROR(INDEX(SakesV5[銘柄],MATCH(B188,SakesV5[酒款ID],0)),"酒款ID未找到"))</f>
        <v>雅樂代</v>
      </c>
      <c r="D188" s="8" t="str">
        <f>IF(B188="","",IFERROR(INDEX(SakesV5[酒款],MATCH(B188,SakesV5[酒款ID],0)),"酒款ID未找到"))</f>
        <v>月華</v>
      </c>
      <c r="E188" s="8"/>
      <c r="F188" s="8" t="s">
        <v>793</v>
      </c>
      <c r="G188" s="8" t="s">
        <v>1012</v>
      </c>
      <c r="H188" s="9" t="s">
        <v>1215</v>
      </c>
      <c r="I188" s="9"/>
      <c r="J188" s="22"/>
      <c r="K188" s="22"/>
      <c r="L188" s="10"/>
      <c r="M188" s="18">
        <v>720</v>
      </c>
      <c r="N188" s="9" t="s">
        <v>1215</v>
      </c>
      <c r="O188" s="11"/>
      <c r="P188" s="10"/>
      <c r="Q188" s="8"/>
      <c r="R188" s="8"/>
      <c r="S188" s="9"/>
      <c r="T188" s="8"/>
      <c r="U188" s="8"/>
      <c r="V188" s="8"/>
      <c r="W188" s="8"/>
      <c r="X188" s="11"/>
      <c r="Y188" s="8"/>
      <c r="Z188" s="8"/>
      <c r="AA188" s="9"/>
    </row>
    <row r="189" spans="1:27" ht="57.95" customHeight="1">
      <c r="A189" s="8" t="s">
        <v>1031</v>
      </c>
      <c r="B189" s="8" t="s">
        <v>682</v>
      </c>
      <c r="C189" s="8" t="str">
        <f>IF(B189="","",IFERROR(INDEX(SakesV5[銘柄],MATCH(B189,SakesV5[酒款ID],0)),"酒款ID未找到"))</f>
        <v>臥龍梅</v>
      </c>
      <c r="D189" s="8" t="str">
        <f>IF(B189="","",IFERROR(INDEX(SakesV5[酒款],MATCH(B189,SakesV5[酒款ID],0)),"酒款ID未找到"))</f>
        <v>純米大吟醸 三味和醸</v>
      </c>
      <c r="E189" s="8"/>
      <c r="F189" s="8" t="s">
        <v>793</v>
      </c>
      <c r="G189" s="8" t="s">
        <v>1012</v>
      </c>
      <c r="H189" s="14" t="s">
        <v>808</v>
      </c>
      <c r="I189" s="9"/>
      <c r="J189" s="22"/>
      <c r="K189" s="22"/>
      <c r="L189" s="10"/>
      <c r="M189" s="18">
        <v>720</v>
      </c>
      <c r="N189" s="39" t="s">
        <v>1189</v>
      </c>
      <c r="O189" s="11"/>
      <c r="P189" s="10"/>
      <c r="Q189" s="8"/>
      <c r="R189" s="8"/>
      <c r="S189" s="9"/>
      <c r="T189" s="8"/>
      <c r="U189" s="8"/>
      <c r="V189" s="8"/>
      <c r="W189" s="8"/>
      <c r="X189" s="11"/>
      <c r="Y189" s="8"/>
      <c r="Z189" s="8"/>
      <c r="AA189" s="9"/>
    </row>
    <row r="190" spans="1:27" ht="57.95" customHeight="1">
      <c r="A190" s="8" t="s">
        <v>1032</v>
      </c>
      <c r="B190" s="8" t="s">
        <v>690</v>
      </c>
      <c r="C190" s="8" t="str">
        <f>IF(B190="","",IFERROR(INDEX(SakesV5[銘柄],MATCH(B190,SakesV5[酒款ID],0)),"酒款ID未找到"))</f>
        <v>光榮菊</v>
      </c>
      <c r="D190" s="8" t="str">
        <f>IF(B190="","",IFERROR(INDEX(SakesV5[酒款],MATCH(B190,SakesV5[酒款ID],0)),"酒款ID未找到"))</f>
        <v>希望之湖 PX雪莉樽熟成</v>
      </c>
      <c r="E190" s="8" t="s">
        <v>1025</v>
      </c>
      <c r="F190" s="8" t="s">
        <v>779</v>
      </c>
      <c r="G190" s="8" t="s">
        <v>780</v>
      </c>
      <c r="H190" s="9" t="s">
        <v>1033</v>
      </c>
      <c r="I190" s="9"/>
      <c r="J190" s="22"/>
      <c r="K190" s="22"/>
      <c r="L190" s="10" t="s">
        <v>1034</v>
      </c>
      <c r="M190" s="18"/>
      <c r="N190" s="51" t="s">
        <v>1170</v>
      </c>
      <c r="O190" s="11"/>
      <c r="P190" s="10"/>
      <c r="Q190" s="8"/>
      <c r="R190" s="8"/>
      <c r="S190" s="9"/>
      <c r="T190" s="8"/>
      <c r="U190" s="8"/>
      <c r="V190" s="8"/>
      <c r="W190" s="8"/>
      <c r="X190" s="11"/>
      <c r="Y190" s="8"/>
      <c r="Z190" s="8"/>
      <c r="AA190" s="9"/>
    </row>
    <row r="191" spans="1:27" ht="57.95" customHeight="1">
      <c r="A191" s="8" t="s">
        <v>1035</v>
      </c>
      <c r="B191" s="8" t="s">
        <v>694</v>
      </c>
      <c r="C191" s="8" t="str">
        <f>IF(B191="","",IFERROR(INDEX(SakesV5[銘柄],MATCH(B191,SakesV5[酒款ID],0)),"酒款ID未找到"))</f>
        <v>百十郎</v>
      </c>
      <c r="D191" s="8" t="str">
        <f>IF(B191="","",IFERROR(INDEX(SakesV5[酒款],MATCH(B191,SakesV5[酒款ID],0)),"酒款ID未找到"))</f>
        <v>蒼藍 純米大吟釀 2026</v>
      </c>
      <c r="E191" s="8" t="s">
        <v>884</v>
      </c>
      <c r="F191" s="8" t="s">
        <v>793</v>
      </c>
      <c r="G191" s="8" t="s">
        <v>1012</v>
      </c>
      <c r="H191" s="14" t="s">
        <v>808</v>
      </c>
      <c r="I191" s="9"/>
      <c r="J191" s="22"/>
      <c r="K191" s="22"/>
      <c r="L191" s="10"/>
      <c r="M191" s="18">
        <v>720</v>
      </c>
      <c r="N191" s="46" t="s">
        <v>1174</v>
      </c>
      <c r="O191" s="11"/>
      <c r="P191" s="10"/>
      <c r="Q191" s="8"/>
      <c r="R191" s="8"/>
      <c r="S191" s="9"/>
      <c r="T191" s="8"/>
      <c r="U191" s="8"/>
      <c r="V191" s="8"/>
      <c r="W191" s="8"/>
      <c r="X191" s="11"/>
      <c r="Y191" s="8"/>
      <c r="Z191" s="8"/>
      <c r="AA191" s="9"/>
    </row>
    <row r="192" spans="1:27" ht="57.95" customHeight="1">
      <c r="A192" s="8" t="s">
        <v>1036</v>
      </c>
      <c r="B192" s="8" t="s">
        <v>705</v>
      </c>
      <c r="C192" s="8" t="str">
        <f>IF(B192="","",IFERROR(INDEX(SakesV5[銘柄],MATCH(B192,SakesV5[酒款ID],0)),"酒款ID未找到"))</f>
        <v>彩來</v>
      </c>
      <c r="D192" s="8" t="str">
        <f>IF(B192="","",IFERROR(INDEX(SakesV5[酒款],MATCH(B192,SakesV5[酒款ID],0)),"酒款ID未找到"))</f>
        <v>純米吟釀 生詰</v>
      </c>
      <c r="E192" s="8" t="s">
        <v>872</v>
      </c>
      <c r="F192" s="8" t="s">
        <v>779</v>
      </c>
      <c r="G192" s="8" t="s">
        <v>794</v>
      </c>
      <c r="H192" s="9" t="s">
        <v>1215</v>
      </c>
      <c r="I192" s="9"/>
      <c r="J192" s="22"/>
      <c r="K192" s="22"/>
      <c r="L192" s="10" t="s">
        <v>1037</v>
      </c>
      <c r="M192" s="18"/>
      <c r="N192" s="9" t="s">
        <v>1215</v>
      </c>
      <c r="O192" s="11"/>
      <c r="P192" s="10">
        <v>320</v>
      </c>
      <c r="Q192" s="8"/>
      <c r="R192" s="8"/>
      <c r="S192" s="9"/>
      <c r="T192" s="8"/>
      <c r="U192" s="8"/>
      <c r="V192" s="8"/>
      <c r="W192" s="8"/>
      <c r="X192" s="11"/>
      <c r="Y192" s="8"/>
      <c r="Z192" s="8"/>
      <c r="AA192" s="9"/>
    </row>
    <row r="193" spans="1:27" ht="57.95" customHeight="1">
      <c r="A193" s="8" t="s">
        <v>1038</v>
      </c>
      <c r="B193" s="8" t="s">
        <v>711</v>
      </c>
      <c r="C193" s="8" t="str">
        <f>IF(B193="","",IFERROR(INDEX(SakesV5[銘柄],MATCH(B193,SakesV5[酒款ID],0)),"酒款ID未找到"))</f>
        <v>阿部勘</v>
      </c>
      <c r="D193" s="8" t="str">
        <f>IF(B193="","",IFERROR(INDEX(SakesV5[酒款],MATCH(B193,SakesV5[酒款ID],0)),"酒款ID未找到"))</f>
        <v>純米吟釀 夏の潮 金魚ラベル</v>
      </c>
      <c r="E193" s="8" t="s">
        <v>872</v>
      </c>
      <c r="F193" s="8" t="s">
        <v>779</v>
      </c>
      <c r="G193" s="8" t="s">
        <v>794</v>
      </c>
      <c r="H193" s="9" t="s">
        <v>1215</v>
      </c>
      <c r="I193" s="9"/>
      <c r="J193" s="22"/>
      <c r="K193" s="22"/>
      <c r="L193" s="10"/>
      <c r="M193" s="18">
        <v>720</v>
      </c>
      <c r="N193" s="9" t="s">
        <v>1215</v>
      </c>
      <c r="O193" s="11"/>
      <c r="P193" s="10"/>
      <c r="Q193" s="8"/>
      <c r="R193" s="8"/>
      <c r="S193" s="9"/>
      <c r="T193" s="8"/>
      <c r="U193" s="8"/>
      <c r="V193" s="8"/>
      <c r="W193" s="8"/>
      <c r="X193" s="11"/>
      <c r="Y193" s="8"/>
      <c r="Z193" s="8"/>
      <c r="AA193" s="9"/>
    </row>
    <row r="194" spans="1:27" ht="57.95" customHeight="1">
      <c r="A194" s="8" t="s">
        <v>1039</v>
      </c>
      <c r="B194" s="8" t="s">
        <v>715</v>
      </c>
      <c r="C194" s="8" t="str">
        <f>IF(B194="","",IFERROR(INDEX(SakesV5[銘柄],MATCH(B194,SakesV5[酒款ID],0)),"酒款ID未找到"))</f>
        <v>開華</v>
      </c>
      <c r="D194" s="8" t="str">
        <f>IF(B194="","",IFERROR(INDEX(SakesV5[酒款],MATCH(B194,SakesV5[酒款ID],0)),"酒款ID未找到"))</f>
        <v>純米ひやおろし</v>
      </c>
      <c r="E194" s="8" t="s">
        <v>872</v>
      </c>
      <c r="F194" s="8" t="s">
        <v>779</v>
      </c>
      <c r="G194" s="8" t="s">
        <v>780</v>
      </c>
      <c r="H194" s="9" t="s">
        <v>1215</v>
      </c>
      <c r="I194" s="9"/>
      <c r="J194" s="22"/>
      <c r="K194" s="22"/>
      <c r="L194" s="10"/>
      <c r="M194" s="18"/>
      <c r="N194" s="9" t="s">
        <v>1215</v>
      </c>
      <c r="O194" s="11"/>
      <c r="P194" s="10"/>
      <c r="Q194" s="8"/>
      <c r="R194" s="8"/>
      <c r="S194" s="9"/>
      <c r="T194" s="8"/>
      <c r="U194" s="8"/>
      <c r="V194" s="8"/>
      <c r="W194" s="8"/>
      <c r="X194" s="11"/>
      <c r="Y194" s="8"/>
      <c r="Z194" s="8"/>
      <c r="AA194" s="9"/>
    </row>
    <row r="195" spans="1:27" ht="57.95" customHeight="1">
      <c r="A195" s="8" t="s">
        <v>1040</v>
      </c>
      <c r="B195" s="8" t="s">
        <v>719</v>
      </c>
      <c r="C195" s="8" t="str">
        <f>IF(B195="","",IFERROR(INDEX(SakesV5[銘柄],MATCH(B195,SakesV5[酒款ID],0)),"酒款ID未找到"))</f>
        <v>開華</v>
      </c>
      <c r="D195" s="8" t="str">
        <f>IF(B195="","",IFERROR(INDEX(SakesV5[酒款],MATCH(B195,SakesV5[酒款ID],0)),"酒款ID未找到"))</f>
        <v>純米酒</v>
      </c>
      <c r="E195" s="8" t="s">
        <v>872</v>
      </c>
      <c r="F195" s="8" t="s">
        <v>779</v>
      </c>
      <c r="G195" s="8" t="s">
        <v>780</v>
      </c>
      <c r="H195" s="9" t="s">
        <v>1215</v>
      </c>
      <c r="I195" s="9"/>
      <c r="J195" s="22"/>
      <c r="K195" s="22"/>
      <c r="L195" s="10"/>
      <c r="M195" s="18"/>
      <c r="N195" s="9" t="s">
        <v>1215</v>
      </c>
      <c r="O195" s="11"/>
      <c r="P195" s="10"/>
      <c r="Q195" s="8"/>
      <c r="R195" s="8"/>
      <c r="S195" s="9"/>
      <c r="T195" s="8"/>
      <c r="U195" s="8"/>
      <c r="V195" s="8"/>
      <c r="W195" s="8"/>
      <c r="X195" s="11"/>
      <c r="Y195" s="8"/>
      <c r="Z195" s="8"/>
      <c r="AA195" s="9"/>
    </row>
    <row r="196" spans="1:27" ht="57.95" customHeight="1">
      <c r="A196" s="8" t="s">
        <v>1041</v>
      </c>
      <c r="B196" s="8" t="s">
        <v>721</v>
      </c>
      <c r="C196" s="8" t="str">
        <f>IF(B196="","",IFERROR(INDEX(SakesV5[銘柄],MATCH(B196,SakesV5[酒款ID],0)),"酒款ID未找到"))</f>
        <v>開華</v>
      </c>
      <c r="D196" s="8" t="str">
        <f>IF(B196="","",IFERROR(INDEX(SakesV5[酒款],MATCH(B196,SakesV5[酒款ID],0)),"酒款ID未找到"))</f>
        <v>純米生酒</v>
      </c>
      <c r="E196" s="8" t="s">
        <v>872</v>
      </c>
      <c r="F196" s="8" t="s">
        <v>779</v>
      </c>
      <c r="G196" s="8" t="s">
        <v>780</v>
      </c>
      <c r="H196" s="9" t="s">
        <v>1215</v>
      </c>
      <c r="I196" s="9"/>
      <c r="J196" s="22"/>
      <c r="K196" s="22"/>
      <c r="L196" s="10"/>
      <c r="M196" s="18"/>
      <c r="N196" s="9" t="s">
        <v>1215</v>
      </c>
      <c r="O196" s="11"/>
      <c r="P196" s="10"/>
      <c r="Q196" s="8"/>
      <c r="R196" s="8"/>
      <c r="S196" s="9"/>
      <c r="T196" s="8"/>
      <c r="U196" s="8"/>
      <c r="V196" s="8"/>
      <c r="W196" s="8"/>
      <c r="X196" s="11"/>
      <c r="Y196" s="8"/>
      <c r="Z196" s="8"/>
      <c r="AA196" s="9"/>
    </row>
    <row r="197" spans="1:27" ht="57.95" customHeight="1">
      <c r="A197" s="8" t="s">
        <v>1042</v>
      </c>
      <c r="B197" s="8" t="s">
        <v>722</v>
      </c>
      <c r="C197" s="8" t="str">
        <f>IF(B197="","",IFERROR(INDEX(SakesV5[銘柄],MATCH(B197,SakesV5[酒款ID],0)),"酒款ID未找到"))</f>
        <v>開華</v>
      </c>
      <c r="D197" s="8" t="str">
        <f>IF(B197="","",IFERROR(INDEX(SakesV5[酒款],MATCH(B197,SakesV5[酒款ID],0)),"酒款ID未找到"))</f>
        <v>純米吟醸</v>
      </c>
      <c r="E197" s="8" t="s">
        <v>872</v>
      </c>
      <c r="F197" s="8" t="s">
        <v>779</v>
      </c>
      <c r="G197" s="8" t="s">
        <v>780</v>
      </c>
      <c r="H197" s="9" t="s">
        <v>1215</v>
      </c>
      <c r="I197" s="9"/>
      <c r="J197" s="22"/>
      <c r="K197" s="22"/>
      <c r="L197" s="10"/>
      <c r="M197" s="18"/>
      <c r="N197" s="9" t="s">
        <v>1215</v>
      </c>
      <c r="O197" s="11"/>
      <c r="P197" s="10"/>
      <c r="Q197" s="8"/>
      <c r="R197" s="8"/>
      <c r="S197" s="9"/>
      <c r="T197" s="8"/>
      <c r="U197" s="8"/>
      <c r="V197" s="8"/>
      <c r="W197" s="8"/>
      <c r="X197" s="11"/>
      <c r="Y197" s="8"/>
      <c r="Z197" s="8"/>
      <c r="AA197" s="9"/>
    </row>
    <row r="198" spans="1:27" ht="57.95" customHeight="1">
      <c r="A198" s="8" t="s">
        <v>1043</v>
      </c>
      <c r="B198" s="8" t="s">
        <v>724</v>
      </c>
      <c r="C198" s="8" t="str">
        <f>IF(B198="","",IFERROR(INDEX(SakesV5[銘柄],MATCH(B198,SakesV5[酒款ID],0)),"酒款ID未找到"))</f>
        <v>開華</v>
      </c>
      <c r="D198" s="8" t="str">
        <f>IF(B198="","",IFERROR(INDEX(SakesV5[酒款],MATCH(B198,SakesV5[酒款ID],0)),"酒款ID未找到"))</f>
        <v>遠心分離 純米吟釀生原酒</v>
      </c>
      <c r="E198" s="8" t="s">
        <v>872</v>
      </c>
      <c r="F198" s="8" t="s">
        <v>779</v>
      </c>
      <c r="G198" s="8" t="s">
        <v>780</v>
      </c>
      <c r="H198" s="9" t="s">
        <v>1215</v>
      </c>
      <c r="I198" s="9"/>
      <c r="J198" s="22"/>
      <c r="K198" s="22"/>
      <c r="L198" s="10"/>
      <c r="M198" s="18"/>
      <c r="N198" s="9" t="s">
        <v>1215</v>
      </c>
      <c r="O198" s="11"/>
      <c r="P198" s="10"/>
      <c r="Q198" s="8"/>
      <c r="R198" s="8"/>
      <c r="S198" s="9"/>
      <c r="T198" s="8"/>
      <c r="U198" s="8"/>
      <c r="V198" s="8"/>
      <c r="W198" s="8"/>
      <c r="X198" s="11"/>
      <c r="Y198" s="8"/>
      <c r="Z198" s="8"/>
      <c r="AA198" s="9"/>
    </row>
    <row r="199" spans="1:27" ht="57.95" customHeight="1">
      <c r="A199" s="8" t="s">
        <v>1044</v>
      </c>
      <c r="B199" s="8" t="s">
        <v>726</v>
      </c>
      <c r="C199" s="8" t="str">
        <f>IF(B199="","",IFERROR(INDEX(SakesV5[銘柄],MATCH(B199,SakesV5[酒款ID],0)),"酒款ID未找到"))</f>
        <v>開華</v>
      </c>
      <c r="D199" s="8" t="str">
        <f>IF(B199="","",IFERROR(INDEX(SakesV5[酒款],MATCH(B199,SakesV5[酒款ID],0)),"酒款ID未找到"))</f>
        <v>Silky White遠心分離酒純米吟醸にごり</v>
      </c>
      <c r="E199" s="8" t="s">
        <v>872</v>
      </c>
      <c r="F199" s="8" t="s">
        <v>779</v>
      </c>
      <c r="G199" s="8" t="s">
        <v>780</v>
      </c>
      <c r="H199" s="9" t="s">
        <v>1215</v>
      </c>
      <c r="I199" s="9"/>
      <c r="J199" s="22"/>
      <c r="K199" s="22"/>
      <c r="L199" s="10"/>
      <c r="M199" s="18"/>
      <c r="N199" s="9" t="s">
        <v>1215</v>
      </c>
      <c r="O199" s="11"/>
      <c r="P199" s="10"/>
      <c r="Q199" s="8"/>
      <c r="R199" s="8"/>
      <c r="S199" s="9"/>
      <c r="T199" s="8"/>
      <c r="U199" s="8"/>
      <c r="V199" s="8"/>
      <c r="W199" s="8"/>
      <c r="X199" s="11"/>
      <c r="Y199" s="8"/>
      <c r="Z199" s="8"/>
      <c r="AA199" s="9"/>
    </row>
    <row r="200" spans="1:27" ht="57.95" customHeight="1">
      <c r="A200" s="8" t="s">
        <v>1045</v>
      </c>
      <c r="B200" s="8" t="s">
        <v>728</v>
      </c>
      <c r="C200" s="8" t="str">
        <f>IF(B200="","",IFERROR(INDEX(SakesV5[銘柄],MATCH(B200,SakesV5[酒款ID],0)),"酒款ID未找到"))</f>
        <v>開華</v>
      </c>
      <c r="D200" s="8" t="str">
        <f>IF(B200="","",IFERROR(INDEX(SakesV5[酒款],MATCH(B200,SakesV5[酒款ID],0)),"酒款ID未找到"))</f>
        <v>遠心分離酒(純米吟醸生酒)</v>
      </c>
      <c r="E200" s="8" t="s">
        <v>872</v>
      </c>
      <c r="F200" s="8" t="s">
        <v>779</v>
      </c>
      <c r="G200" s="8" t="s">
        <v>780</v>
      </c>
      <c r="H200" s="9" t="s">
        <v>1215</v>
      </c>
      <c r="I200" s="9"/>
      <c r="J200" s="22"/>
      <c r="K200" s="22"/>
      <c r="L200" s="10"/>
      <c r="M200" s="18"/>
      <c r="N200" s="9" t="s">
        <v>1215</v>
      </c>
      <c r="O200" s="11"/>
      <c r="P200" s="10"/>
      <c r="Q200" s="8"/>
      <c r="R200" s="8"/>
      <c r="S200" s="9"/>
      <c r="T200" s="8"/>
      <c r="U200" s="8"/>
      <c r="V200" s="8"/>
      <c r="W200" s="8"/>
      <c r="X200" s="11"/>
      <c r="Y200" s="8"/>
      <c r="Z200" s="8"/>
      <c r="AA200" s="9"/>
    </row>
    <row r="201" spans="1:27" ht="57.95" customHeight="1">
      <c r="A201" s="8" t="s">
        <v>1046</v>
      </c>
      <c r="B201" s="8" t="s">
        <v>731</v>
      </c>
      <c r="C201" s="8" t="str">
        <f>IF(B201="","",IFERROR(INDEX(SakesV5[銘柄],MATCH(B201,SakesV5[酒款ID],0)),"酒款ID未找到"))</f>
        <v>開華</v>
      </c>
      <c r="D201" s="8" t="str">
        <f>IF(B201="","",IFERROR(INDEX(SakesV5[酒款],MATCH(B201,SakesV5[酒款ID],0)),"酒款ID未找到"))</f>
        <v>遠心分離酒(純米吟醸ひやおろし)</v>
      </c>
      <c r="E201" s="8" t="s">
        <v>872</v>
      </c>
      <c r="F201" s="8" t="s">
        <v>779</v>
      </c>
      <c r="G201" s="8" t="s">
        <v>780</v>
      </c>
      <c r="H201" s="9" t="s">
        <v>1215</v>
      </c>
      <c r="I201" s="9"/>
      <c r="J201" s="22"/>
      <c r="K201" s="22"/>
      <c r="L201" s="10"/>
      <c r="M201" s="18"/>
      <c r="N201" s="9" t="s">
        <v>1215</v>
      </c>
      <c r="O201" s="11"/>
      <c r="P201" s="10"/>
      <c r="Q201" s="8"/>
      <c r="R201" s="8"/>
      <c r="S201" s="9"/>
      <c r="T201" s="8"/>
      <c r="U201" s="8"/>
      <c r="V201" s="8"/>
      <c r="W201" s="8"/>
      <c r="X201" s="11"/>
      <c r="Y201" s="8"/>
      <c r="Z201" s="8"/>
      <c r="AA201" s="9"/>
    </row>
    <row r="202" spans="1:27" ht="57.95" customHeight="1">
      <c r="A202" s="8" t="s">
        <v>1047</v>
      </c>
      <c r="B202" s="8" t="s">
        <v>733</v>
      </c>
      <c r="C202" s="8" t="str">
        <f>IF(B202="","",IFERROR(INDEX(SakesV5[銘柄],MATCH(B202,SakesV5[酒款ID],0)),"酒款ID未找到"))</f>
        <v>鐵鏽搖滾貓</v>
      </c>
      <c r="D202" s="8" t="str">
        <f>IF(B202="","",IFERROR(INDEX(SakesV5[酒款],MATCH(B202,SakesV5[酒款ID],0)),"酒款ID未找到"))</f>
        <v>dry dry dry</v>
      </c>
      <c r="E202" s="8" t="s">
        <v>872</v>
      </c>
      <c r="F202" s="8" t="s">
        <v>793</v>
      </c>
      <c r="G202" s="8" t="s">
        <v>794</v>
      </c>
      <c r="H202" s="28" t="s">
        <v>808</v>
      </c>
      <c r="I202" s="9"/>
      <c r="J202" s="22"/>
      <c r="K202" s="22"/>
      <c r="L202" s="10"/>
      <c r="M202" s="18">
        <v>720</v>
      </c>
      <c r="N202" s="9" t="s">
        <v>1215</v>
      </c>
      <c r="O202" s="11"/>
      <c r="P202" s="10"/>
      <c r="Q202" s="8"/>
      <c r="R202" s="8"/>
      <c r="S202" s="9"/>
      <c r="T202" s="8"/>
      <c r="U202" s="8"/>
      <c r="V202" s="8"/>
      <c r="W202" s="8"/>
      <c r="X202" s="11"/>
      <c r="Y202" s="8"/>
      <c r="Z202" s="8"/>
      <c r="AA202" s="9"/>
    </row>
    <row r="203" spans="1:27" ht="57.95" customHeight="1">
      <c r="A203" s="8" t="s">
        <v>1048</v>
      </c>
      <c r="B203" s="8" t="s">
        <v>737</v>
      </c>
      <c r="C203" s="8" t="str">
        <f>IF(B203="","",IFERROR(INDEX(SakesV5[銘柄],MATCH(B203,SakesV5[酒款ID],0)),"酒款ID未找到"))</f>
        <v>SAKE HUNDRED</v>
      </c>
      <c r="D203" s="8" t="str">
        <f>IF(B203="","",IFERROR(INDEX(SakesV5[酒款],MATCH(B203,SakesV5[酒款ID],0)),"酒款ID未找到"))</f>
        <v>弐光</v>
      </c>
      <c r="E203" s="8" t="s">
        <v>872</v>
      </c>
      <c r="F203" s="8" t="s">
        <v>793</v>
      </c>
      <c r="G203" s="8" t="s">
        <v>794</v>
      </c>
      <c r="H203" s="28" t="s">
        <v>808</v>
      </c>
      <c r="I203" s="9"/>
      <c r="J203" s="22"/>
      <c r="K203" s="22"/>
      <c r="L203" s="10"/>
      <c r="M203" s="18">
        <v>720</v>
      </c>
      <c r="N203" s="9" t="s">
        <v>1215</v>
      </c>
      <c r="O203" s="11"/>
      <c r="P203" s="10"/>
      <c r="Q203" s="8"/>
      <c r="R203" s="8"/>
      <c r="S203" s="9"/>
      <c r="T203" s="8"/>
      <c r="U203" s="8"/>
      <c r="V203" s="8"/>
      <c r="W203" s="8"/>
      <c r="X203" s="11"/>
      <c r="Y203" s="8"/>
      <c r="Z203" s="8"/>
      <c r="AA203" s="9"/>
    </row>
    <row r="204" spans="1:27" ht="57.95" customHeight="1">
      <c r="A204" s="8" t="s">
        <v>1049</v>
      </c>
      <c r="B204" s="8" t="s">
        <v>741</v>
      </c>
      <c r="C204" s="8" t="str">
        <f>IF(B204="","",IFERROR(INDEX(SakesV5[銘柄],MATCH(B204,SakesV5[酒款ID],0)),"酒款ID未找到"))</f>
        <v>森嶋</v>
      </c>
      <c r="D204" s="8" t="str">
        <f>IF(B204="","",IFERROR(INDEX(SakesV5[酒款],MATCH(B204,SakesV5[酒款ID],0)),"酒款ID未找到"))</f>
        <v>25+ Black 純米大吟釀</v>
      </c>
      <c r="E204" s="8" t="s">
        <v>872</v>
      </c>
      <c r="F204" s="8" t="s">
        <v>793</v>
      </c>
      <c r="G204" s="8" t="s">
        <v>794</v>
      </c>
      <c r="H204" s="28" t="s">
        <v>808</v>
      </c>
      <c r="I204" s="9"/>
      <c r="J204" s="22"/>
      <c r="K204" s="22"/>
      <c r="L204" s="10"/>
      <c r="M204" s="18">
        <v>720</v>
      </c>
      <c r="N204" s="9" t="s">
        <v>1215</v>
      </c>
      <c r="O204" s="11"/>
      <c r="P204" s="10"/>
      <c r="Q204" s="8"/>
      <c r="R204" s="8"/>
      <c r="S204" s="9"/>
      <c r="T204" s="8"/>
      <c r="U204" s="8"/>
      <c r="V204" s="8"/>
      <c r="W204" s="8"/>
      <c r="X204" s="11"/>
      <c r="Y204" s="8"/>
      <c r="Z204" s="8"/>
      <c r="AA204" s="9"/>
    </row>
    <row r="205" spans="1:27" ht="57.95" customHeight="1">
      <c r="A205" s="8" t="s">
        <v>1116</v>
      </c>
      <c r="B205" s="8" t="s">
        <v>1112</v>
      </c>
      <c r="C205" s="8" t="str">
        <f>IF(B205="","",IFERROR(INDEX(SakesV5[銘柄],MATCH(B205,SakesV5[酒款ID],0)),"酒款ID未找到"))</f>
        <v>甍</v>
      </c>
      <c r="D205" s="8" t="str">
        <f>IF(B205="","",IFERROR(INDEX(SakesV5[酒款],MATCH(B205,SakesV5[酒款ID],0)),"酒款ID未找到"))</f>
        <v>銀黑 金紋錦 無濾過生原酒</v>
      </c>
      <c r="E205" s="8"/>
      <c r="F205" s="8" t="s">
        <v>779</v>
      </c>
      <c r="G205" s="8" t="s">
        <v>780</v>
      </c>
      <c r="H205" s="9" t="s">
        <v>1033</v>
      </c>
      <c r="I205" s="9"/>
      <c r="J205" s="22"/>
      <c r="K205" s="22"/>
      <c r="L205" s="10"/>
      <c r="M205" s="18"/>
      <c r="N205" s="9"/>
      <c r="O205" s="11"/>
      <c r="P205" s="10"/>
      <c r="Q205" s="8"/>
      <c r="R205" s="8"/>
      <c r="S205" s="9"/>
      <c r="T205" s="8"/>
      <c r="U205" s="8"/>
      <c r="V205" s="8"/>
      <c r="W205" s="8"/>
      <c r="X205" s="11"/>
      <c r="Y205" s="8"/>
      <c r="Z205" s="8"/>
      <c r="AA205" s="9"/>
    </row>
    <row r="206" spans="1:27" s="62" customFormat="1" ht="24.95" customHeight="1">
      <c r="A206" s="55" t="s">
        <v>1204</v>
      </c>
      <c r="B206" s="55" t="s">
        <v>1203</v>
      </c>
      <c r="C206" s="55" t="str">
        <f>IF(B206="","",IFERROR(INDEX(SakesV5[銘柄],MATCH(B206,SakesV5[酒款ID],0)),"酒款ID未找到"))</f>
        <v>東洋美人</v>
      </c>
      <c r="D206" s="55" t="str">
        <f>IF(B206="","",IFERROR(INDEX(SakesV5[酒款],MATCH(B206,SakesV5[酒款ID],0)),"酒款ID未找到"))</f>
        <v>東洋女神</v>
      </c>
      <c r="E206" s="55" t="s">
        <v>1197</v>
      </c>
      <c r="F206" s="55" t="s">
        <v>793</v>
      </c>
      <c r="G206" s="55" t="s">
        <v>794</v>
      </c>
      <c r="H206" s="56" t="s">
        <v>808</v>
      </c>
      <c r="I206" s="57"/>
      <c r="J206" s="58"/>
      <c r="K206" s="58"/>
      <c r="L206" s="59"/>
      <c r="M206" s="60"/>
      <c r="N206" s="9" t="s">
        <v>1215</v>
      </c>
      <c r="O206" s="61" t="s">
        <v>1205</v>
      </c>
      <c r="P206" s="59">
        <v>3750</v>
      </c>
      <c r="Q206" s="55" t="s">
        <v>787</v>
      </c>
      <c r="R206" s="55" t="s">
        <v>795</v>
      </c>
      <c r="S206" s="63" t="s">
        <v>1206</v>
      </c>
      <c r="T206" s="55"/>
      <c r="U206" s="55"/>
      <c r="V206" s="55"/>
      <c r="W206" s="55"/>
      <c r="X206" s="61"/>
      <c r="Y206" s="55"/>
      <c r="Z206" s="55"/>
      <c r="AA206" s="57"/>
    </row>
    <row r="207" spans="1:27" ht="24.95" customHeight="1">
      <c r="A207" s="1"/>
      <c r="B207" s="1"/>
      <c r="C207" s="48" t="str">
        <f>IF(B207="","",IFERROR(INDEX(SakesV5[銘柄],MATCH(B207,SakesV5[酒款ID],0)),"酒款ID未找到"))</f>
        <v/>
      </c>
      <c r="D207" s="48" t="str">
        <f>IF(B207="","",IFERROR(INDEX(SakesV5[酒款],MATCH(B207,SakesV5[酒款ID],0)),"酒款ID未找到"))</f>
        <v/>
      </c>
      <c r="E207" s="1"/>
      <c r="F207" s="1"/>
      <c r="G207" s="1"/>
      <c r="H207" s="3"/>
      <c r="I207" s="3"/>
      <c r="J207" s="23"/>
      <c r="K207" s="23"/>
      <c r="L207" s="4"/>
      <c r="M207" s="19"/>
      <c r="N207" s="1"/>
      <c r="O207" s="5"/>
      <c r="P207" s="4"/>
      <c r="Q207" s="1"/>
      <c r="R207" s="1"/>
      <c r="S207" s="3"/>
      <c r="T207" s="1"/>
      <c r="U207" s="1"/>
      <c r="V207" s="1"/>
      <c r="W207" s="1"/>
      <c r="X207" s="5"/>
      <c r="Y207" s="1"/>
      <c r="Z207" s="1"/>
      <c r="AA207" s="3"/>
    </row>
    <row r="208" spans="1:27" ht="24.95" customHeight="1">
      <c r="A208" s="1"/>
      <c r="B208" s="1"/>
      <c r="C208" s="48" t="str">
        <f>IF(B208="","",IFERROR(INDEX(SakesV5[銘柄],MATCH(B208,SakesV5[酒款ID],0)),"酒款ID未找到"))</f>
        <v/>
      </c>
      <c r="D208" s="48" t="str">
        <f>IF(B208="","",IFERROR(INDEX(SakesV5[酒款],MATCH(B208,SakesV5[酒款ID],0)),"酒款ID未找到"))</f>
        <v/>
      </c>
      <c r="E208" s="1"/>
      <c r="F208" s="1"/>
      <c r="G208" s="1"/>
      <c r="H208" s="3"/>
      <c r="I208" s="3"/>
      <c r="J208" s="23"/>
      <c r="K208" s="23"/>
      <c r="L208" s="4"/>
      <c r="M208" s="19"/>
      <c r="N208" s="1"/>
      <c r="O208" s="5"/>
      <c r="P208" s="4"/>
      <c r="Q208" s="1"/>
      <c r="R208" s="1"/>
      <c r="S208" s="3"/>
      <c r="T208" s="1"/>
      <c r="U208" s="1"/>
      <c r="V208" s="1"/>
      <c r="W208" s="1"/>
      <c r="X208" s="5"/>
      <c r="Y208" s="1"/>
      <c r="Z208" s="1"/>
      <c r="AA208" s="3"/>
    </row>
    <row r="209" spans="1:27" ht="24.95" customHeight="1">
      <c r="A209" s="1"/>
      <c r="B209" s="1"/>
      <c r="C209" s="48" t="str">
        <f>IF(B209="","",IFERROR(INDEX(SakesV5[銘柄],MATCH(B209,SakesV5[酒款ID],0)),"酒款ID未找到"))</f>
        <v/>
      </c>
      <c r="D209" s="48" t="str">
        <f>IF(B209="","",IFERROR(INDEX(SakesV5[酒款],MATCH(B209,SakesV5[酒款ID],0)),"酒款ID未找到"))</f>
        <v/>
      </c>
      <c r="E209" s="1"/>
      <c r="F209" s="1"/>
      <c r="G209" s="1"/>
      <c r="H209" s="3"/>
      <c r="I209" s="3"/>
      <c r="J209" s="23"/>
      <c r="K209" s="23"/>
      <c r="L209" s="4"/>
      <c r="M209" s="19"/>
      <c r="N209" s="1"/>
      <c r="O209" s="5"/>
      <c r="P209" s="4"/>
      <c r="Q209" s="1"/>
      <c r="R209" s="1"/>
      <c r="S209" s="3"/>
      <c r="T209" s="1"/>
      <c r="U209" s="1"/>
      <c r="V209" s="1"/>
      <c r="W209" s="1"/>
      <c r="X209" s="5"/>
      <c r="Y209" s="1"/>
      <c r="Z209" s="1"/>
      <c r="AA209" s="3"/>
    </row>
    <row r="210" spans="1:27" ht="24.95" customHeight="1">
      <c r="A210" s="1"/>
      <c r="B210" s="1"/>
      <c r="C210" s="48" t="str">
        <f>IF(B210="","",IFERROR(INDEX(SakesV5[銘柄],MATCH(B210,SakesV5[酒款ID],0)),"酒款ID未找到"))</f>
        <v/>
      </c>
      <c r="D210" s="48" t="str">
        <f>IF(B210="","",IFERROR(INDEX(SakesV5[酒款],MATCH(B210,SakesV5[酒款ID],0)),"酒款ID未找到"))</f>
        <v/>
      </c>
      <c r="E210" s="1"/>
      <c r="F210" s="1"/>
      <c r="G210" s="1"/>
      <c r="H210" s="3"/>
      <c r="I210" s="3"/>
      <c r="J210" s="23"/>
      <c r="K210" s="23"/>
      <c r="L210" s="4"/>
      <c r="M210" s="19"/>
      <c r="N210" s="1"/>
      <c r="O210" s="5"/>
      <c r="P210" s="4"/>
      <c r="Q210" s="1"/>
      <c r="R210" s="1"/>
      <c r="S210" s="3"/>
      <c r="T210" s="1"/>
      <c r="U210" s="1"/>
      <c r="V210" s="1"/>
      <c r="W210" s="1"/>
      <c r="X210" s="5"/>
      <c r="Y210" s="1"/>
      <c r="Z210" s="1"/>
      <c r="AA210" s="3"/>
    </row>
    <row r="211" spans="1:27" ht="24.95" customHeight="1">
      <c r="A211" s="1"/>
      <c r="B211" s="1"/>
      <c r="C211" s="48" t="str">
        <f>IF(B211="","",IFERROR(INDEX(SakesV5[銘柄],MATCH(B211,SakesV5[酒款ID],0)),"酒款ID未找到"))</f>
        <v/>
      </c>
      <c r="D211" s="48" t="str">
        <f>IF(B211="","",IFERROR(INDEX(SakesV5[酒款],MATCH(B211,SakesV5[酒款ID],0)),"酒款ID未找到"))</f>
        <v/>
      </c>
      <c r="E211" s="1"/>
      <c r="F211" s="1"/>
      <c r="G211" s="1"/>
      <c r="H211" s="3"/>
      <c r="I211" s="3"/>
      <c r="J211" s="23"/>
      <c r="K211" s="23"/>
      <c r="L211" s="4"/>
      <c r="M211" s="19"/>
      <c r="N211" s="1"/>
      <c r="O211" s="5"/>
      <c r="P211" s="4"/>
      <c r="Q211" s="1"/>
      <c r="R211" s="1"/>
      <c r="S211" s="3"/>
      <c r="T211" s="1"/>
      <c r="U211" s="1"/>
      <c r="V211" s="1"/>
      <c r="W211" s="1"/>
      <c r="X211" s="5"/>
      <c r="Y211" s="1"/>
      <c r="Z211" s="1"/>
      <c r="AA211" s="3"/>
    </row>
    <row r="212" spans="1:27" ht="24.95" customHeight="1">
      <c r="A212" s="1"/>
      <c r="B212" s="1"/>
      <c r="C212" s="48" t="str">
        <f>IF(B212="","",IFERROR(INDEX(SakesV5[銘柄],MATCH(B212,SakesV5[酒款ID],0)),"酒款ID未找到"))</f>
        <v/>
      </c>
      <c r="D212" s="48" t="str">
        <f>IF(B212="","",IFERROR(INDEX(SakesV5[酒款],MATCH(B212,SakesV5[酒款ID],0)),"酒款ID未找到"))</f>
        <v/>
      </c>
      <c r="E212" s="1"/>
      <c r="F212" s="1"/>
      <c r="G212" s="1"/>
      <c r="H212" s="3"/>
      <c r="I212" s="3"/>
      <c r="J212" s="23"/>
      <c r="K212" s="23"/>
      <c r="L212" s="4"/>
      <c r="M212" s="19"/>
      <c r="N212" s="1"/>
      <c r="O212" s="5"/>
      <c r="P212" s="4"/>
      <c r="Q212" s="1"/>
      <c r="R212" s="1"/>
      <c r="S212" s="3"/>
      <c r="T212" s="1"/>
      <c r="U212" s="1"/>
      <c r="V212" s="1"/>
      <c r="W212" s="1"/>
      <c r="X212" s="5"/>
      <c r="Y212" s="1"/>
      <c r="Z212" s="1"/>
      <c r="AA212" s="3"/>
    </row>
    <row r="213" spans="1:27" ht="24.95" customHeight="1">
      <c r="A213" s="1"/>
      <c r="B213" s="1"/>
      <c r="C213" s="48" t="str">
        <f>IF(B213="","",IFERROR(INDEX(SakesV5[銘柄],MATCH(B213,SakesV5[酒款ID],0)),"酒款ID未找到"))</f>
        <v/>
      </c>
      <c r="D213" s="48" t="str">
        <f>IF(B213="","",IFERROR(INDEX(SakesV5[酒款],MATCH(B213,SakesV5[酒款ID],0)),"酒款ID未找到"))</f>
        <v/>
      </c>
      <c r="E213" s="1"/>
      <c r="F213" s="1"/>
      <c r="G213" s="1"/>
      <c r="H213" s="3"/>
      <c r="I213" s="3"/>
      <c r="J213" s="23"/>
      <c r="K213" s="23"/>
      <c r="L213" s="4"/>
      <c r="M213" s="19"/>
      <c r="N213" s="1"/>
      <c r="O213" s="5"/>
      <c r="P213" s="4"/>
      <c r="Q213" s="1"/>
      <c r="R213" s="1"/>
      <c r="S213" s="3"/>
      <c r="T213" s="1"/>
      <c r="U213" s="1"/>
      <c r="V213" s="1"/>
      <c r="W213" s="1"/>
      <c r="X213" s="5"/>
      <c r="Y213" s="1"/>
      <c r="Z213" s="1"/>
      <c r="AA213" s="3"/>
    </row>
    <row r="214" spans="1:27" ht="24.95" customHeight="1">
      <c r="A214" s="1"/>
      <c r="B214" s="1"/>
      <c r="C214" s="48" t="str">
        <f>IF(B214="","",IFERROR(INDEX(SakesV5[銘柄],MATCH(B214,SakesV5[酒款ID],0)),"酒款ID未找到"))</f>
        <v/>
      </c>
      <c r="D214" s="48" t="str">
        <f>IF(B214="","",IFERROR(INDEX(SakesV5[酒款],MATCH(B214,SakesV5[酒款ID],0)),"酒款ID未找到"))</f>
        <v/>
      </c>
      <c r="E214" s="1"/>
      <c r="F214" s="1"/>
      <c r="G214" s="1"/>
      <c r="H214" s="3"/>
      <c r="I214" s="3"/>
      <c r="J214" s="23"/>
      <c r="K214" s="23"/>
      <c r="L214" s="4"/>
      <c r="M214" s="19"/>
      <c r="N214" s="1"/>
      <c r="O214" s="5"/>
      <c r="P214" s="4"/>
      <c r="Q214" s="1"/>
      <c r="R214" s="1"/>
      <c r="S214" s="3"/>
      <c r="T214" s="1"/>
      <c r="U214" s="1"/>
      <c r="V214" s="1"/>
      <c r="W214" s="1"/>
      <c r="X214" s="5"/>
      <c r="Y214" s="1"/>
      <c r="Z214" s="1"/>
      <c r="AA214" s="3"/>
    </row>
    <row r="215" spans="1:27" ht="24.95" customHeight="1">
      <c r="A215" s="1"/>
      <c r="B215" s="1"/>
      <c r="C215" s="48" t="str">
        <f>IF(B215="","",IFERROR(INDEX(SakesV5[銘柄],MATCH(B215,SakesV5[酒款ID],0)),"酒款ID未找到"))</f>
        <v/>
      </c>
      <c r="D215" s="48" t="str">
        <f>IF(B215="","",IFERROR(INDEX(SakesV5[酒款],MATCH(B215,SakesV5[酒款ID],0)),"酒款ID未找到"))</f>
        <v/>
      </c>
      <c r="E215" s="1"/>
      <c r="F215" s="1"/>
      <c r="G215" s="1"/>
      <c r="H215" s="3"/>
      <c r="I215" s="3"/>
      <c r="J215" s="23"/>
      <c r="K215" s="23"/>
      <c r="L215" s="4"/>
      <c r="M215" s="19"/>
      <c r="N215" s="1"/>
      <c r="O215" s="5"/>
      <c r="P215" s="4"/>
      <c r="Q215" s="1"/>
      <c r="R215" s="1"/>
      <c r="S215" s="3"/>
      <c r="T215" s="1"/>
      <c r="U215" s="1"/>
      <c r="V215" s="1"/>
      <c r="W215" s="1"/>
      <c r="X215" s="5"/>
      <c r="Y215" s="1"/>
      <c r="Z215" s="1"/>
      <c r="AA215" s="3"/>
    </row>
    <row r="216" spans="1:27" ht="24.95" customHeight="1">
      <c r="A216" s="1"/>
      <c r="B216" s="1"/>
      <c r="C216" s="48" t="str">
        <f>IF(B216="","",IFERROR(INDEX(SakesV5[銘柄],MATCH(B216,SakesV5[酒款ID],0)),"酒款ID未找到"))</f>
        <v/>
      </c>
      <c r="D216" s="48" t="str">
        <f>IF(B216="","",IFERROR(INDEX(SakesV5[酒款],MATCH(B216,SakesV5[酒款ID],0)),"酒款ID未找到"))</f>
        <v/>
      </c>
      <c r="E216" s="1"/>
      <c r="F216" s="1"/>
      <c r="G216" s="1"/>
      <c r="H216" s="3"/>
      <c r="I216" s="3"/>
      <c r="J216" s="23"/>
      <c r="K216" s="23"/>
      <c r="L216" s="4"/>
      <c r="M216" s="19"/>
      <c r="N216" s="1"/>
      <c r="O216" s="5"/>
      <c r="P216" s="4"/>
      <c r="Q216" s="1"/>
      <c r="R216" s="1"/>
      <c r="S216" s="3"/>
      <c r="T216" s="1"/>
      <c r="U216" s="1"/>
      <c r="V216" s="1"/>
      <c r="W216" s="1"/>
      <c r="X216" s="5"/>
      <c r="Y216" s="1"/>
      <c r="Z216" s="1"/>
      <c r="AA216" s="3"/>
    </row>
    <row r="217" spans="1:27" ht="24.95" customHeight="1">
      <c r="A217" s="1"/>
      <c r="B217" s="1"/>
      <c r="C217" s="48" t="str">
        <f>IF(B217="","",IFERROR(INDEX(SakesV5[銘柄],MATCH(B217,SakesV5[酒款ID],0)),"酒款ID未找到"))</f>
        <v/>
      </c>
      <c r="D217" s="48" t="str">
        <f>IF(B217="","",IFERROR(INDEX(SakesV5[酒款],MATCH(B217,SakesV5[酒款ID],0)),"酒款ID未找到"))</f>
        <v/>
      </c>
      <c r="E217" s="1"/>
      <c r="F217" s="1"/>
      <c r="G217" s="1"/>
      <c r="H217" s="3"/>
      <c r="I217" s="3"/>
      <c r="J217" s="23"/>
      <c r="K217" s="23"/>
      <c r="L217" s="4"/>
      <c r="M217" s="19"/>
      <c r="N217" s="1"/>
      <c r="O217" s="5"/>
      <c r="P217" s="4"/>
      <c r="Q217" s="1"/>
      <c r="R217" s="1"/>
      <c r="S217" s="3"/>
      <c r="T217" s="1"/>
      <c r="U217" s="1"/>
      <c r="V217" s="1"/>
      <c r="W217" s="1"/>
      <c r="X217" s="5"/>
      <c r="Y217" s="1"/>
      <c r="Z217" s="1"/>
      <c r="AA217" s="3"/>
    </row>
    <row r="218" spans="1:27" ht="24.95" customHeight="1">
      <c r="A218" s="1"/>
      <c r="B218" s="1"/>
      <c r="C218" s="48" t="str">
        <f>IF(B218="","",IFERROR(INDEX(SakesV5[銘柄],MATCH(B218,SakesV5[酒款ID],0)),"酒款ID未找到"))</f>
        <v/>
      </c>
      <c r="D218" s="48" t="str">
        <f>IF(B218="","",IFERROR(INDEX(SakesV5[酒款],MATCH(B218,SakesV5[酒款ID],0)),"酒款ID未找到"))</f>
        <v/>
      </c>
      <c r="E218" s="1"/>
      <c r="F218" s="1"/>
      <c r="G218" s="1"/>
      <c r="H218" s="3"/>
      <c r="I218" s="3"/>
      <c r="J218" s="23"/>
      <c r="K218" s="23"/>
      <c r="L218" s="4"/>
      <c r="M218" s="19"/>
      <c r="N218" s="1"/>
      <c r="O218" s="5"/>
      <c r="P218" s="4"/>
      <c r="Q218" s="1"/>
      <c r="R218" s="1"/>
      <c r="S218" s="3"/>
      <c r="T218" s="1"/>
      <c r="U218" s="1"/>
      <c r="V218" s="1"/>
      <c r="W218" s="1"/>
      <c r="X218" s="5"/>
      <c r="Y218" s="1"/>
      <c r="Z218" s="1"/>
      <c r="AA218" s="3"/>
    </row>
    <row r="219" spans="1:27" ht="24.95" customHeight="1">
      <c r="A219" s="1"/>
      <c r="B219" s="1"/>
      <c r="C219" s="48" t="str">
        <f>IF(B219="","",IFERROR(INDEX(SakesV5[銘柄],MATCH(B219,SakesV5[酒款ID],0)),"酒款ID未找到"))</f>
        <v/>
      </c>
      <c r="D219" s="48" t="str">
        <f>IF(B219="","",IFERROR(INDEX(SakesV5[酒款],MATCH(B219,SakesV5[酒款ID],0)),"酒款ID未找到"))</f>
        <v/>
      </c>
      <c r="E219" s="1"/>
      <c r="F219" s="1"/>
      <c r="G219" s="1"/>
      <c r="H219" s="3"/>
      <c r="I219" s="3"/>
      <c r="J219" s="23"/>
      <c r="K219" s="23"/>
      <c r="L219" s="4"/>
      <c r="M219" s="19"/>
      <c r="N219" s="1"/>
      <c r="O219" s="5"/>
      <c r="P219" s="4"/>
      <c r="Q219" s="1"/>
      <c r="R219" s="1"/>
      <c r="S219" s="3"/>
      <c r="T219" s="1"/>
      <c r="U219" s="1"/>
      <c r="V219" s="1"/>
      <c r="W219" s="1"/>
      <c r="X219" s="5"/>
      <c r="Y219" s="1"/>
      <c r="Z219" s="1"/>
      <c r="AA219" s="3"/>
    </row>
    <row r="220" spans="1:27" ht="24.95" customHeight="1">
      <c r="A220" s="1"/>
      <c r="B220" s="1"/>
      <c r="C220" s="48" t="str">
        <f>IF(B220="","",IFERROR(INDEX(SakesV5[銘柄],MATCH(B220,SakesV5[酒款ID],0)),"酒款ID未找到"))</f>
        <v/>
      </c>
      <c r="D220" s="48" t="str">
        <f>IF(B220="","",IFERROR(INDEX(SakesV5[酒款],MATCH(B220,SakesV5[酒款ID],0)),"酒款ID未找到"))</f>
        <v/>
      </c>
      <c r="E220" s="1"/>
      <c r="F220" s="1"/>
      <c r="G220" s="1"/>
      <c r="H220" s="3"/>
      <c r="I220" s="3"/>
      <c r="J220" s="23"/>
      <c r="K220" s="23"/>
      <c r="L220" s="4"/>
      <c r="M220" s="19"/>
      <c r="N220" s="1"/>
      <c r="O220" s="5"/>
      <c r="P220" s="4"/>
      <c r="Q220" s="1"/>
      <c r="R220" s="1"/>
      <c r="S220" s="3"/>
      <c r="T220" s="1"/>
      <c r="U220" s="1"/>
      <c r="V220" s="1"/>
      <c r="W220" s="1"/>
      <c r="X220" s="5"/>
      <c r="Y220" s="1"/>
      <c r="Z220" s="1"/>
      <c r="AA220" s="3"/>
    </row>
    <row r="221" spans="1:27" ht="24.95" customHeight="1">
      <c r="A221" s="1"/>
      <c r="B221" s="1"/>
      <c r="C221" s="48" t="str">
        <f>IF(B221="","",IFERROR(INDEX(SakesV5[銘柄],MATCH(B221,SakesV5[酒款ID],0)),"酒款ID未找到"))</f>
        <v/>
      </c>
      <c r="D221" s="48" t="str">
        <f>IF(B221="","",IFERROR(INDEX(SakesV5[酒款],MATCH(B221,SakesV5[酒款ID],0)),"酒款ID未找到"))</f>
        <v/>
      </c>
      <c r="E221" s="1"/>
      <c r="F221" s="1"/>
      <c r="G221" s="1"/>
      <c r="H221" s="3"/>
      <c r="I221" s="3"/>
      <c r="J221" s="23"/>
      <c r="K221" s="23"/>
      <c r="L221" s="4"/>
      <c r="M221" s="19"/>
      <c r="N221" s="1"/>
      <c r="O221" s="5"/>
      <c r="P221" s="4"/>
      <c r="Q221" s="1"/>
      <c r="R221" s="1"/>
      <c r="S221" s="3"/>
      <c r="T221" s="1"/>
      <c r="U221" s="1"/>
      <c r="V221" s="1"/>
      <c r="W221" s="1"/>
      <c r="X221" s="5"/>
      <c r="Y221" s="1"/>
      <c r="Z221" s="1"/>
      <c r="AA221" s="3"/>
    </row>
    <row r="222" spans="1:27" ht="24.95" customHeight="1">
      <c r="A222" s="1"/>
      <c r="B222" s="1"/>
      <c r="C222" s="48" t="str">
        <f>IF(B222="","",IFERROR(INDEX(SakesV5[銘柄],MATCH(B222,SakesV5[酒款ID],0)),"酒款ID未找到"))</f>
        <v/>
      </c>
      <c r="D222" s="48" t="str">
        <f>IF(B222="","",IFERROR(INDEX(SakesV5[酒款],MATCH(B222,SakesV5[酒款ID],0)),"酒款ID未找到"))</f>
        <v/>
      </c>
      <c r="E222" s="1"/>
      <c r="F222" s="1"/>
      <c r="G222" s="1"/>
      <c r="H222" s="3"/>
      <c r="I222" s="3"/>
      <c r="J222" s="23"/>
      <c r="K222" s="23"/>
      <c r="L222" s="4"/>
      <c r="M222" s="19"/>
      <c r="N222" s="1"/>
      <c r="O222" s="5"/>
      <c r="P222" s="4"/>
      <c r="Q222" s="1"/>
      <c r="R222" s="1"/>
      <c r="S222" s="3"/>
      <c r="T222" s="1"/>
      <c r="U222" s="1"/>
      <c r="V222" s="1"/>
      <c r="W222" s="1"/>
      <c r="X222" s="5"/>
      <c r="Y222" s="1"/>
      <c r="Z222" s="1"/>
      <c r="AA222" s="3"/>
    </row>
    <row r="223" spans="1:27" ht="24.95" customHeight="1">
      <c r="A223" s="1"/>
      <c r="B223" s="1"/>
      <c r="C223" s="48" t="str">
        <f>IF(B223="","",IFERROR(INDEX(SakesV5[銘柄],MATCH(B223,SakesV5[酒款ID],0)),"酒款ID未找到"))</f>
        <v/>
      </c>
      <c r="D223" s="48" t="str">
        <f>IF(B223="","",IFERROR(INDEX(SakesV5[酒款],MATCH(B223,SakesV5[酒款ID],0)),"酒款ID未找到"))</f>
        <v/>
      </c>
      <c r="E223" s="1"/>
      <c r="F223" s="1"/>
      <c r="G223" s="1"/>
      <c r="H223" s="3"/>
      <c r="I223" s="3"/>
      <c r="J223" s="23"/>
      <c r="K223" s="23"/>
      <c r="L223" s="4"/>
      <c r="M223" s="19"/>
      <c r="N223" s="1"/>
      <c r="O223" s="5"/>
      <c r="P223" s="4"/>
      <c r="Q223" s="1"/>
      <c r="R223" s="1"/>
      <c r="S223" s="3"/>
      <c r="T223" s="1"/>
      <c r="U223" s="1"/>
      <c r="V223" s="1"/>
      <c r="W223" s="1"/>
      <c r="X223" s="5"/>
      <c r="Y223" s="1"/>
      <c r="Z223" s="1"/>
      <c r="AA223" s="3"/>
    </row>
    <row r="224" spans="1:27" ht="24.95" customHeight="1">
      <c r="A224" s="1"/>
      <c r="B224" s="1"/>
      <c r="C224" s="48" t="str">
        <f>IF(B224="","",IFERROR(INDEX(SakesV5[銘柄],MATCH(B224,SakesV5[酒款ID],0)),"酒款ID未找到"))</f>
        <v/>
      </c>
      <c r="D224" s="48" t="str">
        <f>IF(B224="","",IFERROR(INDEX(SakesV5[酒款],MATCH(B224,SakesV5[酒款ID],0)),"酒款ID未找到"))</f>
        <v/>
      </c>
      <c r="E224" s="1"/>
      <c r="F224" s="1"/>
      <c r="G224" s="1"/>
      <c r="H224" s="3"/>
      <c r="I224" s="3"/>
      <c r="J224" s="23"/>
      <c r="K224" s="23"/>
      <c r="L224" s="4"/>
      <c r="M224" s="19"/>
      <c r="N224" s="1"/>
      <c r="O224" s="5"/>
      <c r="P224" s="4"/>
      <c r="Q224" s="1"/>
      <c r="R224" s="1"/>
      <c r="S224" s="3"/>
      <c r="T224" s="1"/>
      <c r="U224" s="1"/>
      <c r="V224" s="1"/>
      <c r="W224" s="1"/>
      <c r="X224" s="5"/>
      <c r="Y224" s="1"/>
      <c r="Z224" s="1"/>
      <c r="AA224" s="3"/>
    </row>
    <row r="225" spans="1:27" ht="24.95" customHeight="1">
      <c r="A225" s="1"/>
      <c r="B225" s="1"/>
      <c r="C225" s="48" t="str">
        <f>IF(B225="","",IFERROR(INDEX(SakesV5[銘柄],MATCH(B225,SakesV5[酒款ID],0)),"酒款ID未找到"))</f>
        <v/>
      </c>
      <c r="D225" s="48" t="str">
        <f>IF(B225="","",IFERROR(INDEX(SakesV5[酒款],MATCH(B225,SakesV5[酒款ID],0)),"酒款ID未找到"))</f>
        <v/>
      </c>
      <c r="E225" s="1"/>
      <c r="F225" s="1"/>
      <c r="G225" s="1"/>
      <c r="H225" s="3"/>
      <c r="I225" s="3"/>
      <c r="J225" s="23"/>
      <c r="K225" s="23"/>
      <c r="L225" s="4"/>
      <c r="M225" s="19"/>
      <c r="N225" s="1"/>
      <c r="O225" s="5"/>
      <c r="P225" s="4"/>
      <c r="Q225" s="1"/>
      <c r="R225" s="1"/>
      <c r="S225" s="3"/>
      <c r="T225" s="1"/>
      <c r="U225" s="1"/>
      <c r="V225" s="1"/>
      <c r="W225" s="1"/>
      <c r="X225" s="5"/>
      <c r="Y225" s="1"/>
      <c r="Z225" s="1"/>
      <c r="AA225" s="3"/>
    </row>
    <row r="226" spans="1:27" ht="24.95" customHeight="1">
      <c r="A226" s="1"/>
      <c r="B226" s="1"/>
      <c r="C226" s="48" t="str">
        <f>IF(B226="","",IFERROR(INDEX(SakesV5[銘柄],MATCH(B226,SakesV5[酒款ID],0)),"酒款ID未找到"))</f>
        <v/>
      </c>
      <c r="D226" s="48" t="str">
        <f>IF(B226="","",IFERROR(INDEX(SakesV5[酒款],MATCH(B226,SakesV5[酒款ID],0)),"酒款ID未找到"))</f>
        <v/>
      </c>
      <c r="E226" s="1"/>
      <c r="F226" s="1"/>
      <c r="G226" s="1"/>
      <c r="H226" s="3"/>
      <c r="I226" s="3"/>
      <c r="J226" s="23"/>
      <c r="K226" s="23"/>
      <c r="L226" s="4"/>
      <c r="M226" s="19"/>
      <c r="N226" s="1"/>
      <c r="O226" s="5"/>
      <c r="P226" s="4"/>
      <c r="Q226" s="1"/>
      <c r="R226" s="1"/>
      <c r="S226" s="3"/>
      <c r="T226" s="1"/>
      <c r="U226" s="1"/>
      <c r="V226" s="1"/>
      <c r="W226" s="1"/>
      <c r="X226" s="5"/>
      <c r="Y226" s="1"/>
      <c r="Z226" s="1"/>
      <c r="AA226" s="3"/>
    </row>
    <row r="227" spans="1:27" ht="24.95" customHeight="1">
      <c r="A227" s="1"/>
      <c r="B227" s="1"/>
      <c r="C227" s="48" t="str">
        <f>IF(B227="","",IFERROR(INDEX(SakesV5[銘柄],MATCH(B227,SakesV5[酒款ID],0)),"酒款ID未找到"))</f>
        <v/>
      </c>
      <c r="D227" s="48" t="str">
        <f>IF(B227="","",IFERROR(INDEX(SakesV5[酒款],MATCH(B227,SakesV5[酒款ID],0)),"酒款ID未找到"))</f>
        <v/>
      </c>
      <c r="E227" s="1"/>
      <c r="F227" s="1"/>
      <c r="G227" s="1"/>
      <c r="H227" s="3"/>
      <c r="I227" s="3"/>
      <c r="J227" s="23"/>
      <c r="K227" s="23"/>
      <c r="L227" s="4"/>
      <c r="M227" s="19"/>
      <c r="N227" s="1"/>
      <c r="O227" s="5"/>
      <c r="P227" s="4"/>
      <c r="Q227" s="1"/>
      <c r="R227" s="1"/>
      <c r="S227" s="3"/>
      <c r="T227" s="1"/>
      <c r="U227" s="1"/>
      <c r="V227" s="1"/>
      <c r="W227" s="1"/>
      <c r="X227" s="5"/>
      <c r="Y227" s="1"/>
      <c r="Z227" s="1"/>
      <c r="AA227" s="3"/>
    </row>
    <row r="228" spans="1:27" ht="24.95" customHeight="1">
      <c r="A228" s="1"/>
      <c r="B228" s="1"/>
      <c r="C228" s="48" t="str">
        <f>IF(B228="","",IFERROR(INDEX(SakesV5[銘柄],MATCH(B228,SakesV5[酒款ID],0)),"酒款ID未找到"))</f>
        <v/>
      </c>
      <c r="D228" s="48" t="str">
        <f>IF(B228="","",IFERROR(INDEX(SakesV5[酒款],MATCH(B228,SakesV5[酒款ID],0)),"酒款ID未找到"))</f>
        <v/>
      </c>
      <c r="E228" s="1"/>
      <c r="F228" s="1"/>
      <c r="G228" s="1"/>
      <c r="H228" s="3"/>
      <c r="I228" s="3"/>
      <c r="J228" s="23"/>
      <c r="K228" s="23"/>
      <c r="L228" s="4"/>
      <c r="M228" s="19"/>
      <c r="N228" s="1"/>
      <c r="O228" s="5"/>
      <c r="P228" s="4"/>
      <c r="Q228" s="1"/>
      <c r="R228" s="1"/>
      <c r="S228" s="3"/>
      <c r="T228" s="1"/>
      <c r="U228" s="1"/>
      <c r="V228" s="1"/>
      <c r="W228" s="1"/>
      <c r="X228" s="5"/>
      <c r="Y228" s="1"/>
      <c r="Z228" s="1"/>
      <c r="AA228" s="3"/>
    </row>
    <row r="229" spans="1:27" ht="24.95" customHeight="1">
      <c r="A229" s="1"/>
      <c r="B229" s="1"/>
      <c r="C229" s="48" t="str">
        <f>IF(B229="","",IFERROR(INDEX(SakesV5[銘柄],MATCH(B229,SakesV5[酒款ID],0)),"酒款ID未找到"))</f>
        <v/>
      </c>
      <c r="D229" s="48" t="str">
        <f>IF(B229="","",IFERROR(INDEX(SakesV5[酒款],MATCH(B229,SakesV5[酒款ID],0)),"酒款ID未找到"))</f>
        <v/>
      </c>
      <c r="E229" s="1"/>
      <c r="F229" s="1"/>
      <c r="G229" s="1"/>
      <c r="H229" s="3"/>
      <c r="I229" s="3"/>
      <c r="J229" s="23"/>
      <c r="K229" s="23"/>
      <c r="L229" s="4"/>
      <c r="M229" s="19"/>
      <c r="N229" s="1"/>
      <c r="O229" s="5"/>
      <c r="P229" s="4"/>
      <c r="Q229" s="1"/>
      <c r="R229" s="1"/>
      <c r="S229" s="3"/>
      <c r="T229" s="1"/>
      <c r="U229" s="1"/>
      <c r="V229" s="1"/>
      <c r="W229" s="1"/>
      <c r="X229" s="5"/>
      <c r="Y229" s="1"/>
      <c r="Z229" s="1"/>
      <c r="AA229" s="3"/>
    </row>
    <row r="230" spans="1:27" ht="24.95" customHeight="1">
      <c r="A230" s="1"/>
      <c r="B230" s="1"/>
      <c r="C230" s="48" t="str">
        <f>IF(B230="","",IFERROR(INDEX(SakesV5[銘柄],MATCH(B230,SakesV5[酒款ID],0)),"酒款ID未找到"))</f>
        <v/>
      </c>
      <c r="D230" s="48" t="str">
        <f>IF(B230="","",IFERROR(INDEX(SakesV5[酒款],MATCH(B230,SakesV5[酒款ID],0)),"酒款ID未找到"))</f>
        <v/>
      </c>
      <c r="E230" s="1"/>
      <c r="F230" s="1"/>
      <c r="G230" s="1"/>
      <c r="H230" s="3"/>
      <c r="I230" s="3"/>
      <c r="J230" s="23"/>
      <c r="K230" s="23"/>
      <c r="L230" s="4"/>
      <c r="M230" s="19"/>
      <c r="N230" s="1"/>
      <c r="O230" s="5"/>
      <c r="P230" s="4"/>
      <c r="Q230" s="1"/>
      <c r="R230" s="1"/>
      <c r="S230" s="3"/>
      <c r="T230" s="1"/>
      <c r="U230" s="1"/>
      <c r="V230" s="1"/>
      <c r="W230" s="1"/>
      <c r="X230" s="5"/>
      <c r="Y230" s="1"/>
      <c r="Z230" s="1"/>
      <c r="AA230" s="3"/>
    </row>
    <row r="231" spans="1:27" ht="24.95" customHeight="1">
      <c r="A231" s="1"/>
      <c r="B231" s="1"/>
      <c r="C231" s="48" t="str">
        <f>IF(B231="","",IFERROR(INDEX(SakesV5[銘柄],MATCH(B231,SakesV5[酒款ID],0)),"酒款ID未找到"))</f>
        <v/>
      </c>
      <c r="D231" s="48" t="str">
        <f>IF(B231="","",IFERROR(INDEX(SakesV5[酒款],MATCH(B231,SakesV5[酒款ID],0)),"酒款ID未找到"))</f>
        <v/>
      </c>
      <c r="E231" s="1"/>
      <c r="F231" s="1"/>
      <c r="G231" s="1"/>
      <c r="H231" s="3"/>
      <c r="I231" s="3"/>
      <c r="J231" s="23"/>
      <c r="K231" s="23"/>
      <c r="L231" s="4"/>
      <c r="M231" s="19"/>
      <c r="N231" s="1"/>
      <c r="O231" s="5"/>
      <c r="P231" s="4"/>
      <c r="Q231" s="1"/>
      <c r="R231" s="1"/>
      <c r="S231" s="3"/>
      <c r="T231" s="1"/>
      <c r="U231" s="1"/>
      <c r="V231" s="1"/>
      <c r="W231" s="1"/>
      <c r="X231" s="5"/>
      <c r="Y231" s="1"/>
      <c r="Z231" s="1"/>
      <c r="AA231" s="3"/>
    </row>
    <row r="232" spans="1:27" ht="24.95" customHeight="1">
      <c r="A232" s="1"/>
      <c r="B232" s="1"/>
      <c r="C232" s="48" t="str">
        <f>IF(B232="","",IFERROR(INDEX(SakesV5[銘柄],MATCH(B232,SakesV5[酒款ID],0)),"酒款ID未找到"))</f>
        <v/>
      </c>
      <c r="D232" s="48" t="str">
        <f>IF(B232="","",IFERROR(INDEX(SakesV5[酒款],MATCH(B232,SakesV5[酒款ID],0)),"酒款ID未找到"))</f>
        <v/>
      </c>
      <c r="E232" s="1"/>
      <c r="F232" s="1"/>
      <c r="G232" s="1"/>
      <c r="H232" s="3"/>
      <c r="I232" s="3"/>
      <c r="J232" s="23"/>
      <c r="K232" s="23"/>
      <c r="L232" s="4"/>
      <c r="M232" s="19"/>
      <c r="N232" s="1"/>
      <c r="O232" s="5"/>
      <c r="P232" s="4"/>
      <c r="Q232" s="1"/>
      <c r="R232" s="1"/>
      <c r="S232" s="3"/>
      <c r="T232" s="1"/>
      <c r="U232" s="1"/>
      <c r="V232" s="1"/>
      <c r="W232" s="1"/>
      <c r="X232" s="5"/>
      <c r="Y232" s="1"/>
      <c r="Z232" s="1"/>
      <c r="AA232" s="3"/>
    </row>
    <row r="233" spans="1:27" ht="24.95" customHeight="1">
      <c r="A233" s="1"/>
      <c r="B233" s="1"/>
      <c r="C233" s="48" t="str">
        <f>IF(B233="","",IFERROR(INDEX(SakesV5[銘柄],MATCH(B233,SakesV5[酒款ID],0)),"酒款ID未找到"))</f>
        <v/>
      </c>
      <c r="D233" s="48" t="str">
        <f>IF(B233="","",IFERROR(INDEX(SakesV5[酒款],MATCH(B233,SakesV5[酒款ID],0)),"酒款ID未找到"))</f>
        <v/>
      </c>
      <c r="E233" s="1"/>
      <c r="F233" s="1"/>
      <c r="G233" s="1"/>
      <c r="H233" s="3"/>
      <c r="I233" s="3"/>
      <c r="J233" s="23"/>
      <c r="K233" s="23"/>
      <c r="L233" s="4"/>
      <c r="M233" s="19"/>
      <c r="N233" s="1"/>
      <c r="O233" s="5"/>
      <c r="P233" s="4"/>
      <c r="Q233" s="1"/>
      <c r="R233" s="1"/>
      <c r="S233" s="3"/>
      <c r="T233" s="1"/>
      <c r="U233" s="1"/>
      <c r="V233" s="1"/>
      <c r="W233" s="1"/>
      <c r="X233" s="5"/>
      <c r="Y233" s="1"/>
      <c r="Z233" s="1"/>
      <c r="AA233" s="3"/>
    </row>
    <row r="234" spans="1:27" ht="24.95" customHeight="1">
      <c r="A234" s="1"/>
      <c r="B234" s="1"/>
      <c r="C234" s="48" t="str">
        <f>IF(B234="","",IFERROR(INDEX(SakesV5[銘柄],MATCH(B234,SakesV5[酒款ID],0)),"酒款ID未找到"))</f>
        <v/>
      </c>
      <c r="D234" s="48" t="str">
        <f>IF(B234="","",IFERROR(INDEX(SakesV5[酒款],MATCH(B234,SakesV5[酒款ID],0)),"酒款ID未找到"))</f>
        <v/>
      </c>
      <c r="E234" s="1"/>
      <c r="F234" s="1"/>
      <c r="G234" s="1"/>
      <c r="H234" s="3"/>
      <c r="I234" s="3"/>
      <c r="J234" s="23"/>
      <c r="K234" s="23"/>
      <c r="L234" s="4"/>
      <c r="M234" s="19"/>
      <c r="N234" s="1"/>
      <c r="O234" s="5"/>
      <c r="P234" s="4"/>
      <c r="Q234" s="1"/>
      <c r="R234" s="1"/>
      <c r="S234" s="3"/>
      <c r="T234" s="1"/>
      <c r="U234" s="1"/>
      <c r="V234" s="1"/>
      <c r="W234" s="1"/>
      <c r="X234" s="5"/>
      <c r="Y234" s="1"/>
      <c r="Z234" s="1"/>
      <c r="AA234" s="3"/>
    </row>
    <row r="235" spans="1:27" ht="24.95" customHeight="1">
      <c r="A235" s="1"/>
      <c r="B235" s="1"/>
      <c r="C235" s="48" t="str">
        <f>IF(B235="","",IFERROR(INDEX(SakesV5[銘柄],MATCH(B235,SakesV5[酒款ID],0)),"酒款ID未找到"))</f>
        <v/>
      </c>
      <c r="D235" s="48" t="str">
        <f>IF(B235="","",IFERROR(INDEX(SakesV5[酒款],MATCH(B235,SakesV5[酒款ID],0)),"酒款ID未找到"))</f>
        <v/>
      </c>
      <c r="E235" s="1"/>
      <c r="F235" s="1"/>
      <c r="G235" s="1"/>
      <c r="H235" s="3"/>
      <c r="I235" s="3"/>
      <c r="J235" s="23"/>
      <c r="K235" s="23"/>
      <c r="L235" s="4"/>
      <c r="M235" s="19"/>
      <c r="N235" s="1"/>
      <c r="O235" s="5"/>
      <c r="P235" s="4"/>
      <c r="Q235" s="1"/>
      <c r="R235" s="1"/>
      <c r="S235" s="3"/>
      <c r="T235" s="1"/>
      <c r="U235" s="1"/>
      <c r="V235" s="1"/>
      <c r="W235" s="1"/>
      <c r="X235" s="5"/>
      <c r="Y235" s="1"/>
      <c r="Z235" s="1"/>
      <c r="AA235" s="3"/>
    </row>
    <row r="236" spans="1:27" ht="24.95" customHeight="1">
      <c r="A236" s="1"/>
      <c r="B236" s="1"/>
      <c r="C236" s="48" t="str">
        <f>IF(B236="","",IFERROR(INDEX(SakesV5[銘柄],MATCH(B236,SakesV5[酒款ID],0)),"酒款ID未找到"))</f>
        <v/>
      </c>
      <c r="D236" s="48" t="str">
        <f>IF(B236="","",IFERROR(INDEX(SakesV5[酒款],MATCH(B236,SakesV5[酒款ID],0)),"酒款ID未找到"))</f>
        <v/>
      </c>
      <c r="E236" s="1"/>
      <c r="F236" s="1"/>
      <c r="G236" s="1"/>
      <c r="H236" s="3"/>
      <c r="I236" s="3"/>
      <c r="J236" s="23"/>
      <c r="K236" s="23"/>
      <c r="L236" s="4"/>
      <c r="M236" s="19"/>
      <c r="N236" s="1"/>
      <c r="O236" s="5"/>
      <c r="P236" s="4"/>
      <c r="Q236" s="1"/>
      <c r="R236" s="1"/>
      <c r="S236" s="3"/>
      <c r="T236" s="1"/>
      <c r="U236" s="1"/>
      <c r="V236" s="1"/>
      <c r="W236" s="1"/>
      <c r="X236" s="5"/>
      <c r="Y236" s="1"/>
      <c r="Z236" s="1"/>
      <c r="AA236" s="3"/>
    </row>
    <row r="237" spans="1:27" ht="24.95" customHeight="1">
      <c r="A237" s="1"/>
      <c r="B237" s="1"/>
      <c r="C237" s="48" t="str">
        <f>IF(B237="","",IFERROR(INDEX(SakesV5[銘柄],MATCH(B237,SakesV5[酒款ID],0)),"酒款ID未找到"))</f>
        <v/>
      </c>
      <c r="D237" s="48" t="str">
        <f>IF(B237="","",IFERROR(INDEX(SakesV5[酒款],MATCH(B237,SakesV5[酒款ID],0)),"酒款ID未找到"))</f>
        <v/>
      </c>
      <c r="E237" s="1"/>
      <c r="F237" s="1"/>
      <c r="G237" s="1"/>
      <c r="H237" s="3"/>
      <c r="I237" s="3"/>
      <c r="J237" s="23"/>
      <c r="K237" s="23"/>
      <c r="L237" s="4"/>
      <c r="M237" s="19"/>
      <c r="N237" s="1"/>
      <c r="O237" s="5"/>
      <c r="P237" s="4"/>
      <c r="Q237" s="1"/>
      <c r="R237" s="1"/>
      <c r="S237" s="3"/>
      <c r="T237" s="1"/>
      <c r="U237" s="1"/>
      <c r="V237" s="1"/>
      <c r="W237" s="1"/>
      <c r="X237" s="5"/>
      <c r="Y237" s="1"/>
      <c r="Z237" s="1"/>
      <c r="AA237" s="3"/>
    </row>
    <row r="238" spans="1:27" ht="24.95" customHeight="1">
      <c r="A238" s="1"/>
      <c r="B238" s="1"/>
      <c r="C238" s="48" t="str">
        <f>IF(B238="","",IFERROR(INDEX(SakesV5[銘柄],MATCH(B238,SakesV5[酒款ID],0)),"酒款ID未找到"))</f>
        <v/>
      </c>
      <c r="D238" s="48" t="str">
        <f>IF(B238="","",IFERROR(INDEX(SakesV5[酒款],MATCH(B238,SakesV5[酒款ID],0)),"酒款ID未找到"))</f>
        <v/>
      </c>
      <c r="E238" s="1"/>
      <c r="F238" s="1"/>
      <c r="G238" s="1"/>
      <c r="H238" s="3"/>
      <c r="I238" s="3"/>
      <c r="J238" s="23"/>
      <c r="K238" s="23"/>
      <c r="L238" s="4"/>
      <c r="M238" s="19"/>
      <c r="N238" s="1"/>
      <c r="O238" s="5"/>
      <c r="P238" s="4"/>
      <c r="Q238" s="1"/>
      <c r="R238" s="1"/>
      <c r="S238" s="3"/>
      <c r="T238" s="1"/>
      <c r="U238" s="1"/>
      <c r="V238" s="1"/>
      <c r="W238" s="1"/>
      <c r="X238" s="5"/>
      <c r="Y238" s="1"/>
      <c r="Z238" s="1"/>
      <c r="AA238" s="3"/>
    </row>
    <row r="239" spans="1:27" ht="24.95" customHeight="1">
      <c r="A239" s="1"/>
      <c r="B239" s="1"/>
      <c r="C239" s="48" t="str">
        <f>IF(B239="","",IFERROR(INDEX(SakesV5[銘柄],MATCH(B239,SakesV5[酒款ID],0)),"酒款ID未找到"))</f>
        <v/>
      </c>
      <c r="D239" s="48" t="str">
        <f>IF(B239="","",IFERROR(INDEX(SakesV5[酒款],MATCH(B239,SakesV5[酒款ID],0)),"酒款ID未找到"))</f>
        <v/>
      </c>
      <c r="E239" s="1"/>
      <c r="F239" s="1"/>
      <c r="G239" s="1"/>
      <c r="H239" s="3"/>
      <c r="I239" s="3"/>
      <c r="J239" s="23"/>
      <c r="K239" s="23"/>
      <c r="L239" s="4"/>
      <c r="M239" s="19"/>
      <c r="N239" s="1"/>
      <c r="O239" s="5"/>
      <c r="P239" s="4"/>
      <c r="Q239" s="1"/>
      <c r="R239" s="1"/>
      <c r="S239" s="3"/>
      <c r="T239" s="1"/>
      <c r="U239" s="1"/>
      <c r="V239" s="1"/>
      <c r="W239" s="1"/>
      <c r="X239" s="5"/>
      <c r="Y239" s="1"/>
      <c r="Z239" s="1"/>
      <c r="AA239" s="3"/>
    </row>
    <row r="240" spans="1:27" ht="24.95" customHeight="1">
      <c r="A240" s="1"/>
      <c r="B240" s="1"/>
      <c r="C240" s="48" t="str">
        <f>IF(B240="","",IFERROR(INDEX(SakesV5[銘柄],MATCH(B240,SakesV5[酒款ID],0)),"酒款ID未找到"))</f>
        <v/>
      </c>
      <c r="D240" s="48" t="str">
        <f>IF(B240="","",IFERROR(INDEX(SakesV5[酒款],MATCH(B240,SakesV5[酒款ID],0)),"酒款ID未找到"))</f>
        <v/>
      </c>
      <c r="E240" s="1"/>
      <c r="F240" s="1"/>
      <c r="G240" s="1"/>
      <c r="H240" s="3"/>
      <c r="I240" s="3"/>
      <c r="J240" s="23"/>
      <c r="K240" s="23"/>
      <c r="L240" s="4"/>
      <c r="M240" s="19"/>
      <c r="N240" s="1"/>
      <c r="O240" s="5"/>
      <c r="P240" s="4"/>
      <c r="Q240" s="1"/>
      <c r="R240" s="1"/>
      <c r="S240" s="3"/>
      <c r="T240" s="1"/>
      <c r="U240" s="1"/>
      <c r="V240" s="1"/>
      <c r="W240" s="1"/>
      <c r="X240" s="5"/>
      <c r="Y240" s="1"/>
      <c r="Z240" s="1"/>
      <c r="AA240" s="3"/>
    </row>
    <row r="241" spans="1:27" ht="24.95" customHeight="1">
      <c r="A241" s="1"/>
      <c r="B241" s="1"/>
      <c r="C241" s="48" t="str">
        <f>IF(B241="","",IFERROR(INDEX(SakesV5[銘柄],MATCH(B241,SakesV5[酒款ID],0)),"酒款ID未找到"))</f>
        <v/>
      </c>
      <c r="D241" s="48" t="str">
        <f>IF(B241="","",IFERROR(INDEX(SakesV5[酒款],MATCH(B241,SakesV5[酒款ID],0)),"酒款ID未找到"))</f>
        <v/>
      </c>
      <c r="E241" s="1"/>
      <c r="F241" s="1"/>
      <c r="G241" s="1"/>
      <c r="H241" s="3"/>
      <c r="I241" s="3"/>
      <c r="J241" s="23"/>
      <c r="K241" s="23"/>
      <c r="L241" s="4"/>
      <c r="M241" s="19"/>
      <c r="N241" s="1"/>
      <c r="O241" s="5"/>
      <c r="P241" s="4"/>
      <c r="Q241" s="1"/>
      <c r="R241" s="1"/>
      <c r="S241" s="3"/>
      <c r="T241" s="1"/>
      <c r="U241" s="1"/>
      <c r="V241" s="1"/>
      <c r="W241" s="1"/>
      <c r="X241" s="5"/>
      <c r="Y241" s="1"/>
      <c r="Z241" s="1"/>
      <c r="AA241" s="3"/>
    </row>
    <row r="242" spans="1:27" ht="24.95" customHeight="1">
      <c r="A242" s="1"/>
      <c r="B242" s="1"/>
      <c r="C242" s="48" t="str">
        <f>IF(B242="","",IFERROR(INDEX(SakesV5[銘柄],MATCH(B242,SakesV5[酒款ID],0)),"酒款ID未找到"))</f>
        <v/>
      </c>
      <c r="D242" s="48" t="str">
        <f>IF(B242="","",IFERROR(INDEX(SakesV5[酒款],MATCH(B242,SakesV5[酒款ID],0)),"酒款ID未找到"))</f>
        <v/>
      </c>
      <c r="E242" s="1"/>
      <c r="F242" s="1"/>
      <c r="G242" s="1"/>
      <c r="H242" s="3"/>
      <c r="I242" s="3"/>
      <c r="J242" s="23"/>
      <c r="K242" s="23"/>
      <c r="L242" s="4"/>
      <c r="M242" s="19"/>
      <c r="N242" s="1"/>
      <c r="O242" s="5"/>
      <c r="P242" s="4"/>
      <c r="Q242" s="1"/>
      <c r="R242" s="1"/>
      <c r="S242" s="3"/>
      <c r="T242" s="1"/>
      <c r="U242" s="1"/>
      <c r="V242" s="1"/>
      <c r="W242" s="1"/>
      <c r="X242" s="5"/>
      <c r="Y242" s="1"/>
      <c r="Z242" s="1"/>
      <c r="AA242" s="3"/>
    </row>
    <row r="243" spans="1:27" ht="24.95" customHeight="1">
      <c r="A243" s="1"/>
      <c r="B243" s="1"/>
      <c r="C243" s="48" t="str">
        <f>IF(B243="","",IFERROR(INDEX(SakesV5[銘柄],MATCH(B243,SakesV5[酒款ID],0)),"酒款ID未找到"))</f>
        <v/>
      </c>
      <c r="D243" s="48" t="str">
        <f>IF(B243="","",IFERROR(INDEX(SakesV5[酒款],MATCH(B243,SakesV5[酒款ID],0)),"酒款ID未找到"))</f>
        <v/>
      </c>
      <c r="E243" s="1"/>
      <c r="F243" s="1"/>
      <c r="G243" s="1"/>
      <c r="H243" s="3"/>
      <c r="I243" s="3"/>
      <c r="J243" s="23"/>
      <c r="K243" s="23"/>
      <c r="L243" s="4"/>
      <c r="M243" s="19"/>
      <c r="N243" s="1"/>
      <c r="O243" s="5"/>
      <c r="P243" s="4"/>
      <c r="Q243" s="1"/>
      <c r="R243" s="1"/>
      <c r="S243" s="3"/>
      <c r="T243" s="1"/>
      <c r="U243" s="1"/>
      <c r="V243" s="1"/>
      <c r="W243" s="1"/>
      <c r="X243" s="5"/>
      <c r="Y243" s="1"/>
      <c r="Z243" s="1"/>
      <c r="AA243" s="3"/>
    </row>
    <row r="244" spans="1:27" ht="24.95" customHeight="1">
      <c r="A244" s="1"/>
      <c r="B244" s="1"/>
      <c r="C244" s="48" t="str">
        <f>IF(B244="","",IFERROR(INDEX(SakesV5[銘柄],MATCH(B244,SakesV5[酒款ID],0)),"酒款ID未找到"))</f>
        <v/>
      </c>
      <c r="D244" s="48" t="str">
        <f>IF(B244="","",IFERROR(INDEX(SakesV5[酒款],MATCH(B244,SakesV5[酒款ID],0)),"酒款ID未找到"))</f>
        <v/>
      </c>
      <c r="E244" s="1"/>
      <c r="F244" s="1"/>
      <c r="G244" s="1"/>
      <c r="H244" s="3"/>
      <c r="I244" s="3"/>
      <c r="J244" s="23"/>
      <c r="K244" s="23"/>
      <c r="L244" s="4"/>
      <c r="M244" s="19"/>
      <c r="N244" s="1"/>
      <c r="O244" s="5"/>
      <c r="P244" s="4"/>
      <c r="Q244" s="1"/>
      <c r="R244" s="1"/>
      <c r="S244" s="3"/>
      <c r="T244" s="1"/>
      <c r="U244" s="1"/>
      <c r="V244" s="1"/>
      <c r="W244" s="1"/>
      <c r="X244" s="5"/>
      <c r="Y244" s="1"/>
      <c r="Z244" s="1"/>
      <c r="AA244" s="3"/>
    </row>
    <row r="245" spans="1:27" ht="24.95" customHeight="1">
      <c r="A245" s="1"/>
      <c r="B245" s="1"/>
      <c r="C245" s="48" t="str">
        <f>IF(B245="","",IFERROR(INDEX(SakesV5[銘柄],MATCH(B245,SakesV5[酒款ID],0)),"酒款ID未找到"))</f>
        <v/>
      </c>
      <c r="D245" s="48" t="str">
        <f>IF(B245="","",IFERROR(INDEX(SakesV5[酒款],MATCH(B245,SakesV5[酒款ID],0)),"酒款ID未找到"))</f>
        <v/>
      </c>
      <c r="E245" s="1"/>
      <c r="F245" s="1"/>
      <c r="G245" s="1"/>
      <c r="H245" s="3"/>
      <c r="I245" s="3"/>
      <c r="J245" s="23"/>
      <c r="K245" s="23"/>
      <c r="L245" s="4"/>
      <c r="M245" s="19"/>
      <c r="N245" s="1"/>
      <c r="O245" s="5"/>
      <c r="P245" s="4"/>
      <c r="Q245" s="1"/>
      <c r="R245" s="1"/>
      <c r="S245" s="3"/>
      <c r="T245" s="1"/>
      <c r="U245" s="1"/>
      <c r="V245" s="1"/>
      <c r="W245" s="1"/>
      <c r="X245" s="5"/>
      <c r="Y245" s="1"/>
      <c r="Z245" s="1"/>
      <c r="AA245" s="3"/>
    </row>
    <row r="246" spans="1:27" ht="24.95" customHeight="1">
      <c r="A246" s="1"/>
      <c r="B246" s="1"/>
      <c r="C246" s="48" t="str">
        <f>IF(B246="","",IFERROR(INDEX(SakesV5[銘柄],MATCH(B246,SakesV5[酒款ID],0)),"酒款ID未找到"))</f>
        <v/>
      </c>
      <c r="D246" s="48" t="str">
        <f>IF(B246="","",IFERROR(INDEX(SakesV5[酒款],MATCH(B246,SakesV5[酒款ID],0)),"酒款ID未找到"))</f>
        <v/>
      </c>
      <c r="E246" s="1"/>
      <c r="F246" s="1"/>
      <c r="G246" s="1"/>
      <c r="H246" s="3"/>
      <c r="I246" s="3"/>
      <c r="J246" s="23"/>
      <c r="K246" s="23"/>
      <c r="L246" s="4"/>
      <c r="M246" s="19"/>
      <c r="N246" s="1"/>
      <c r="O246" s="5"/>
      <c r="P246" s="4"/>
      <c r="Q246" s="1"/>
      <c r="R246" s="1"/>
      <c r="S246" s="3"/>
      <c r="T246" s="1"/>
      <c r="U246" s="1"/>
      <c r="V246" s="1"/>
      <c r="W246" s="1"/>
      <c r="X246" s="5"/>
      <c r="Y246" s="1"/>
      <c r="Z246" s="1"/>
      <c r="AA246" s="3"/>
    </row>
    <row r="247" spans="1:27" ht="24.95" customHeight="1">
      <c r="A247" s="1"/>
      <c r="B247" s="1"/>
      <c r="C247" s="48" t="str">
        <f>IF(B247="","",IFERROR(INDEX(SakesV5[銘柄],MATCH(B247,SakesV5[酒款ID],0)),"酒款ID未找到"))</f>
        <v/>
      </c>
      <c r="D247" s="48" t="str">
        <f>IF(B247="","",IFERROR(INDEX(SakesV5[酒款],MATCH(B247,SakesV5[酒款ID],0)),"酒款ID未找到"))</f>
        <v/>
      </c>
      <c r="E247" s="1"/>
      <c r="F247" s="1"/>
      <c r="G247" s="1"/>
      <c r="H247" s="3"/>
      <c r="I247" s="3"/>
      <c r="J247" s="23"/>
      <c r="K247" s="23"/>
      <c r="L247" s="4"/>
      <c r="M247" s="19"/>
      <c r="N247" s="1"/>
      <c r="O247" s="5"/>
      <c r="P247" s="4"/>
      <c r="Q247" s="1"/>
      <c r="R247" s="1"/>
      <c r="S247" s="3"/>
      <c r="T247" s="1"/>
      <c r="U247" s="1"/>
      <c r="V247" s="1"/>
      <c r="W247" s="1"/>
      <c r="X247" s="5"/>
      <c r="Y247" s="1"/>
      <c r="Z247" s="1"/>
      <c r="AA247" s="3"/>
    </row>
    <row r="248" spans="1:27" ht="24.95" customHeight="1">
      <c r="A248" s="1"/>
      <c r="B248" s="1"/>
      <c r="C248" s="48" t="str">
        <f>IF(B248="","",IFERROR(INDEX(SakesV5[銘柄],MATCH(B248,SakesV5[酒款ID],0)),"酒款ID未找到"))</f>
        <v/>
      </c>
      <c r="D248" s="48" t="str">
        <f>IF(B248="","",IFERROR(INDEX(SakesV5[酒款],MATCH(B248,SakesV5[酒款ID],0)),"酒款ID未找到"))</f>
        <v/>
      </c>
      <c r="E248" s="1"/>
      <c r="F248" s="1"/>
      <c r="G248" s="1"/>
      <c r="H248" s="3"/>
      <c r="I248" s="3"/>
      <c r="J248" s="23"/>
      <c r="K248" s="23"/>
      <c r="L248" s="4"/>
      <c r="M248" s="19"/>
      <c r="N248" s="1"/>
      <c r="O248" s="5"/>
      <c r="P248" s="4"/>
      <c r="Q248" s="1"/>
      <c r="R248" s="1"/>
      <c r="S248" s="3"/>
      <c r="T248" s="1"/>
      <c r="U248" s="1"/>
      <c r="V248" s="1"/>
      <c r="W248" s="1"/>
      <c r="X248" s="5"/>
      <c r="Y248" s="1"/>
      <c r="Z248" s="1"/>
      <c r="AA248" s="3"/>
    </row>
    <row r="249" spans="1:27" ht="24.95" customHeight="1">
      <c r="A249" s="1"/>
      <c r="B249" s="1"/>
      <c r="C249" s="48" t="str">
        <f>IF(B249="","",IFERROR(INDEX(SakesV5[銘柄],MATCH(B249,SakesV5[酒款ID],0)),"酒款ID未找到"))</f>
        <v/>
      </c>
      <c r="D249" s="48" t="str">
        <f>IF(B249="","",IFERROR(INDEX(SakesV5[酒款],MATCH(B249,SakesV5[酒款ID],0)),"酒款ID未找到"))</f>
        <v/>
      </c>
      <c r="E249" s="1"/>
      <c r="F249" s="1"/>
      <c r="G249" s="1"/>
      <c r="H249" s="3"/>
      <c r="I249" s="3"/>
      <c r="J249" s="23"/>
      <c r="K249" s="23"/>
      <c r="L249" s="4"/>
      <c r="M249" s="19"/>
      <c r="N249" s="1"/>
      <c r="O249" s="5"/>
      <c r="P249" s="4"/>
      <c r="Q249" s="1"/>
      <c r="R249" s="1"/>
      <c r="S249" s="3"/>
      <c r="T249" s="1"/>
      <c r="U249" s="1"/>
      <c r="V249" s="1"/>
      <c r="W249" s="1"/>
      <c r="X249" s="5"/>
      <c r="Y249" s="1"/>
      <c r="Z249" s="1"/>
      <c r="AA249" s="3"/>
    </row>
    <row r="250" spans="1:27" ht="24.95" customHeight="1">
      <c r="A250" s="1"/>
      <c r="B250" s="1"/>
      <c r="C250" s="48" t="str">
        <f>IF(B250="","",IFERROR(INDEX(SakesV5[銘柄],MATCH(B250,SakesV5[酒款ID],0)),"酒款ID未找到"))</f>
        <v/>
      </c>
      <c r="D250" s="48" t="str">
        <f>IF(B250="","",IFERROR(INDEX(SakesV5[酒款],MATCH(B250,SakesV5[酒款ID],0)),"酒款ID未找到"))</f>
        <v/>
      </c>
      <c r="E250" s="1"/>
      <c r="F250" s="1"/>
      <c r="G250" s="1"/>
      <c r="H250" s="3"/>
      <c r="I250" s="3"/>
      <c r="J250" s="23"/>
      <c r="K250" s="23"/>
      <c r="L250" s="4"/>
      <c r="M250" s="19"/>
      <c r="N250" s="1"/>
      <c r="O250" s="5"/>
      <c r="P250" s="4"/>
      <c r="Q250" s="1"/>
      <c r="R250" s="1"/>
      <c r="S250" s="3"/>
      <c r="T250" s="1"/>
      <c r="U250" s="1"/>
      <c r="V250" s="1"/>
      <c r="W250" s="1"/>
      <c r="X250" s="5"/>
      <c r="Y250" s="1"/>
      <c r="Z250" s="1"/>
      <c r="AA250" s="3"/>
    </row>
    <row r="251" spans="1:27" ht="24.95" customHeight="1">
      <c r="A251" s="1"/>
      <c r="B251" s="1"/>
      <c r="C251" s="48" t="str">
        <f>IF(B251="","",IFERROR(INDEX(SakesV5[銘柄],MATCH(B251,SakesV5[酒款ID],0)),"酒款ID未找到"))</f>
        <v/>
      </c>
      <c r="D251" s="48" t="str">
        <f>IF(B251="","",IFERROR(INDEX(SakesV5[酒款],MATCH(B251,SakesV5[酒款ID],0)),"酒款ID未找到"))</f>
        <v/>
      </c>
      <c r="E251" s="1"/>
      <c r="F251" s="1"/>
      <c r="G251" s="1"/>
      <c r="H251" s="3"/>
      <c r="I251" s="3"/>
      <c r="J251" s="23"/>
      <c r="K251" s="23"/>
      <c r="L251" s="4"/>
      <c r="M251" s="19"/>
      <c r="N251" s="1"/>
      <c r="O251" s="5"/>
      <c r="P251" s="4"/>
      <c r="Q251" s="1"/>
      <c r="R251" s="1"/>
      <c r="S251" s="3"/>
      <c r="T251" s="1"/>
      <c r="U251" s="1"/>
      <c r="V251" s="1"/>
      <c r="W251" s="1"/>
      <c r="X251" s="5"/>
      <c r="Y251" s="1"/>
      <c r="Z251" s="1"/>
      <c r="AA251" s="3"/>
    </row>
    <row r="252" spans="1:27" ht="24.95" customHeight="1">
      <c r="A252" s="1"/>
      <c r="B252" s="1"/>
      <c r="C252" s="48" t="str">
        <f>IF(B252="","",IFERROR(INDEX(SakesV5[銘柄],MATCH(B252,SakesV5[酒款ID],0)),"酒款ID未找到"))</f>
        <v/>
      </c>
      <c r="D252" s="48" t="str">
        <f>IF(B252="","",IFERROR(INDEX(SakesV5[酒款],MATCH(B252,SakesV5[酒款ID],0)),"酒款ID未找到"))</f>
        <v/>
      </c>
      <c r="E252" s="1"/>
      <c r="F252" s="1"/>
      <c r="G252" s="1"/>
      <c r="H252" s="3"/>
      <c r="I252" s="3"/>
      <c r="J252" s="23"/>
      <c r="K252" s="23"/>
      <c r="L252" s="4"/>
      <c r="M252" s="19"/>
      <c r="N252" s="1"/>
      <c r="O252" s="5"/>
      <c r="P252" s="4"/>
      <c r="Q252" s="1"/>
      <c r="R252" s="1"/>
      <c r="S252" s="3"/>
      <c r="T252" s="1"/>
      <c r="U252" s="1"/>
      <c r="V252" s="1"/>
      <c r="W252" s="1"/>
      <c r="X252" s="5"/>
      <c r="Y252" s="1"/>
      <c r="Z252" s="1"/>
      <c r="AA252" s="3"/>
    </row>
    <row r="253" spans="1:27" ht="24.95" customHeight="1">
      <c r="A253" s="1"/>
      <c r="B253" s="1"/>
      <c r="C253" s="48" t="str">
        <f>IF(B253="","",IFERROR(INDEX(SakesV5[銘柄],MATCH(B253,SakesV5[酒款ID],0)),"酒款ID未找到"))</f>
        <v/>
      </c>
      <c r="D253" s="48" t="str">
        <f>IF(B253="","",IFERROR(INDEX(SakesV5[酒款],MATCH(B253,SakesV5[酒款ID],0)),"酒款ID未找到"))</f>
        <v/>
      </c>
      <c r="E253" s="1"/>
      <c r="F253" s="1"/>
      <c r="G253" s="1"/>
      <c r="H253" s="3"/>
      <c r="I253" s="3"/>
      <c r="J253" s="23"/>
      <c r="K253" s="23"/>
      <c r="L253" s="4"/>
      <c r="M253" s="19"/>
      <c r="N253" s="1"/>
      <c r="O253" s="5"/>
      <c r="P253" s="4"/>
      <c r="Q253" s="1"/>
      <c r="R253" s="1"/>
      <c r="S253" s="3"/>
      <c r="T253" s="1"/>
      <c r="U253" s="1"/>
      <c r="V253" s="1"/>
      <c r="W253" s="1"/>
      <c r="X253" s="5"/>
      <c r="Y253" s="1"/>
      <c r="Z253" s="1"/>
      <c r="AA253" s="3"/>
    </row>
    <row r="254" spans="1:27" ht="24.95" customHeight="1">
      <c r="A254" s="1"/>
      <c r="B254" s="1"/>
      <c r="C254" s="48" t="str">
        <f>IF(B254="","",IFERROR(INDEX(SakesV5[銘柄],MATCH(B254,SakesV5[酒款ID],0)),"酒款ID未找到"))</f>
        <v/>
      </c>
      <c r="D254" s="48" t="str">
        <f>IF(B254="","",IFERROR(INDEX(SakesV5[酒款],MATCH(B254,SakesV5[酒款ID],0)),"酒款ID未找到"))</f>
        <v/>
      </c>
      <c r="E254" s="1"/>
      <c r="F254" s="1"/>
      <c r="G254" s="1"/>
      <c r="H254" s="3"/>
      <c r="I254" s="3"/>
      <c r="J254" s="23"/>
      <c r="K254" s="23"/>
      <c r="L254" s="4"/>
      <c r="M254" s="19"/>
      <c r="N254" s="1"/>
      <c r="O254" s="5"/>
      <c r="P254" s="4"/>
      <c r="Q254" s="1"/>
      <c r="R254" s="1"/>
      <c r="S254" s="3"/>
      <c r="T254" s="1"/>
      <c r="U254" s="1"/>
      <c r="V254" s="1"/>
      <c r="W254" s="1"/>
      <c r="X254" s="5"/>
      <c r="Y254" s="1"/>
      <c r="Z254" s="1"/>
      <c r="AA254" s="3"/>
    </row>
    <row r="255" spans="1:27" ht="24.95" customHeight="1">
      <c r="A255" s="1"/>
      <c r="B255" s="1"/>
      <c r="C255" s="48" t="str">
        <f>IF(B255="","",IFERROR(INDEX(SakesV5[銘柄],MATCH(B255,SakesV5[酒款ID],0)),"酒款ID未找到"))</f>
        <v/>
      </c>
      <c r="D255" s="48" t="str">
        <f>IF(B255="","",IFERROR(INDEX(SakesV5[酒款],MATCH(B255,SakesV5[酒款ID],0)),"酒款ID未找到"))</f>
        <v/>
      </c>
      <c r="E255" s="1"/>
      <c r="F255" s="1"/>
      <c r="G255" s="1"/>
      <c r="H255" s="3"/>
      <c r="I255" s="3"/>
      <c r="J255" s="23"/>
      <c r="K255" s="23"/>
      <c r="L255" s="4"/>
      <c r="M255" s="19"/>
      <c r="N255" s="1"/>
      <c r="O255" s="5"/>
      <c r="P255" s="4"/>
      <c r="Q255" s="1"/>
      <c r="R255" s="1"/>
      <c r="S255" s="3"/>
      <c r="T255" s="1"/>
      <c r="U255" s="1"/>
      <c r="V255" s="1"/>
      <c r="W255" s="1"/>
      <c r="X255" s="5"/>
      <c r="Y255" s="1"/>
      <c r="Z255" s="1"/>
      <c r="AA255" s="3"/>
    </row>
    <row r="256" spans="1:27" ht="24.95" customHeight="1">
      <c r="A256" s="1"/>
      <c r="B256" s="1"/>
      <c r="C256" s="48" t="str">
        <f>IF(B256="","",IFERROR(INDEX(SakesV5[銘柄],MATCH(B256,SakesV5[酒款ID],0)),"酒款ID未找到"))</f>
        <v/>
      </c>
      <c r="D256" s="48" t="str">
        <f>IF(B256="","",IFERROR(INDEX(SakesV5[酒款],MATCH(B256,SakesV5[酒款ID],0)),"酒款ID未找到"))</f>
        <v/>
      </c>
      <c r="E256" s="1"/>
      <c r="F256" s="1"/>
      <c r="G256" s="1"/>
      <c r="H256" s="3"/>
      <c r="I256" s="3"/>
      <c r="J256" s="23"/>
      <c r="K256" s="23"/>
      <c r="L256" s="4"/>
      <c r="M256" s="19"/>
      <c r="N256" s="1"/>
      <c r="O256" s="5"/>
      <c r="P256" s="4"/>
      <c r="Q256" s="1"/>
      <c r="R256" s="1"/>
      <c r="S256" s="3"/>
      <c r="T256" s="1"/>
      <c r="U256" s="1"/>
      <c r="V256" s="1"/>
      <c r="W256" s="1"/>
      <c r="X256" s="5"/>
      <c r="Y256" s="1"/>
      <c r="Z256" s="1"/>
      <c r="AA256" s="3"/>
    </row>
    <row r="257" spans="1:27" ht="24.95" customHeight="1">
      <c r="A257" s="1"/>
      <c r="B257" s="1"/>
      <c r="C257" s="48" t="str">
        <f>IF(B257="","",IFERROR(INDEX(SakesV5[銘柄],MATCH(B257,SakesV5[酒款ID],0)),"酒款ID未找到"))</f>
        <v/>
      </c>
      <c r="D257" s="48" t="str">
        <f>IF(B257="","",IFERROR(INDEX(SakesV5[酒款],MATCH(B257,SakesV5[酒款ID],0)),"酒款ID未找到"))</f>
        <v/>
      </c>
      <c r="E257" s="1"/>
      <c r="F257" s="1"/>
      <c r="G257" s="1"/>
      <c r="H257" s="3"/>
      <c r="I257" s="3"/>
      <c r="J257" s="23"/>
      <c r="K257" s="23"/>
      <c r="L257" s="4"/>
      <c r="M257" s="19"/>
      <c r="N257" s="1"/>
      <c r="O257" s="5"/>
      <c r="P257" s="4"/>
      <c r="Q257" s="1"/>
      <c r="R257" s="1"/>
      <c r="S257" s="3"/>
      <c r="T257" s="1"/>
      <c r="U257" s="1"/>
      <c r="V257" s="1"/>
      <c r="W257" s="1"/>
      <c r="X257" s="5"/>
      <c r="Y257" s="1"/>
      <c r="Z257" s="1"/>
      <c r="AA257" s="3"/>
    </row>
    <row r="258" spans="1:27" ht="24.95" customHeight="1">
      <c r="A258" s="1"/>
      <c r="B258" s="1"/>
      <c r="C258" s="48" t="str">
        <f>IF(B258="","",IFERROR(INDEX(SakesV5[銘柄],MATCH(B258,SakesV5[酒款ID],0)),"酒款ID未找到"))</f>
        <v/>
      </c>
      <c r="D258" s="48" t="str">
        <f>IF(B258="","",IFERROR(INDEX(SakesV5[酒款],MATCH(B258,SakesV5[酒款ID],0)),"酒款ID未找到"))</f>
        <v/>
      </c>
      <c r="E258" s="1"/>
      <c r="F258" s="1"/>
      <c r="G258" s="1"/>
      <c r="H258" s="3"/>
      <c r="I258" s="3"/>
      <c r="J258" s="23"/>
      <c r="K258" s="23"/>
      <c r="L258" s="4"/>
      <c r="M258" s="19"/>
      <c r="N258" s="1"/>
      <c r="O258" s="5"/>
      <c r="P258" s="4"/>
      <c r="Q258" s="1"/>
      <c r="R258" s="1"/>
      <c r="S258" s="3"/>
      <c r="T258" s="1"/>
      <c r="U258" s="1"/>
      <c r="V258" s="1"/>
      <c r="W258" s="1"/>
      <c r="X258" s="5"/>
      <c r="Y258" s="1"/>
      <c r="Z258" s="1"/>
      <c r="AA258" s="3"/>
    </row>
    <row r="259" spans="1:27" ht="24.95" customHeight="1">
      <c r="A259" s="1"/>
      <c r="B259" s="1"/>
      <c r="C259" s="48" t="str">
        <f>IF(B259="","",IFERROR(INDEX(SakesV5[銘柄],MATCH(B259,SakesV5[酒款ID],0)),"酒款ID未找到"))</f>
        <v/>
      </c>
      <c r="D259" s="48" t="str">
        <f>IF(B259="","",IFERROR(INDEX(SakesV5[酒款],MATCH(B259,SakesV5[酒款ID],0)),"酒款ID未找到"))</f>
        <v/>
      </c>
      <c r="E259" s="1"/>
      <c r="F259" s="1"/>
      <c r="G259" s="1"/>
      <c r="H259" s="3"/>
      <c r="I259" s="3"/>
      <c r="J259" s="23"/>
      <c r="K259" s="23"/>
      <c r="L259" s="4"/>
      <c r="M259" s="19"/>
      <c r="N259" s="1"/>
      <c r="O259" s="5"/>
      <c r="P259" s="4"/>
      <c r="Q259" s="1"/>
      <c r="R259" s="1"/>
      <c r="S259" s="3"/>
      <c r="T259" s="1"/>
      <c r="U259" s="1"/>
      <c r="V259" s="1"/>
      <c r="W259" s="1"/>
      <c r="X259" s="5"/>
      <c r="Y259" s="1"/>
      <c r="Z259" s="1"/>
      <c r="AA259" s="3"/>
    </row>
    <row r="260" spans="1:27" ht="24.95" customHeight="1">
      <c r="A260" s="1"/>
      <c r="B260" s="1"/>
      <c r="C260" s="48" t="str">
        <f>IF(B260="","",IFERROR(INDEX(SakesV5[銘柄],MATCH(B260,SakesV5[酒款ID],0)),"酒款ID未找到"))</f>
        <v/>
      </c>
      <c r="D260" s="48" t="str">
        <f>IF(B260="","",IFERROR(INDEX(SakesV5[酒款],MATCH(B260,SakesV5[酒款ID],0)),"酒款ID未找到"))</f>
        <v/>
      </c>
      <c r="E260" s="1"/>
      <c r="F260" s="1"/>
      <c r="G260" s="1"/>
      <c r="H260" s="3"/>
      <c r="I260" s="3"/>
      <c r="J260" s="23"/>
      <c r="K260" s="23"/>
      <c r="L260" s="4"/>
      <c r="M260" s="19"/>
      <c r="N260" s="1"/>
      <c r="O260" s="5"/>
      <c r="P260" s="4"/>
      <c r="Q260" s="1"/>
      <c r="R260" s="1"/>
      <c r="S260" s="3"/>
      <c r="T260" s="1"/>
      <c r="U260" s="1"/>
      <c r="V260" s="1"/>
      <c r="W260" s="1"/>
      <c r="X260" s="5"/>
      <c r="Y260" s="1"/>
      <c r="Z260" s="1"/>
      <c r="AA260" s="3"/>
    </row>
    <row r="261" spans="1:27" ht="24.95" customHeight="1">
      <c r="A261" s="1"/>
      <c r="B261" s="1"/>
      <c r="C261" s="48" t="str">
        <f>IF(B261="","",IFERROR(INDEX(SakesV5[銘柄],MATCH(B261,SakesV5[酒款ID],0)),"酒款ID未找到"))</f>
        <v/>
      </c>
      <c r="D261" s="48" t="str">
        <f>IF(B261="","",IFERROR(INDEX(SakesV5[酒款],MATCH(B261,SakesV5[酒款ID],0)),"酒款ID未找到"))</f>
        <v/>
      </c>
      <c r="E261" s="1"/>
      <c r="F261" s="1"/>
      <c r="G261" s="1"/>
      <c r="H261" s="3"/>
      <c r="I261" s="3"/>
      <c r="J261" s="23"/>
      <c r="K261" s="23"/>
      <c r="L261" s="4"/>
      <c r="M261" s="19"/>
      <c r="N261" s="1"/>
      <c r="O261" s="5"/>
      <c r="P261" s="4"/>
      <c r="Q261" s="1"/>
      <c r="R261" s="1"/>
      <c r="S261" s="3"/>
      <c r="T261" s="1"/>
      <c r="U261" s="1"/>
      <c r="V261" s="1"/>
      <c r="W261" s="1"/>
      <c r="X261" s="5"/>
      <c r="Y261" s="1"/>
      <c r="Z261" s="1"/>
      <c r="AA261" s="3"/>
    </row>
    <row r="262" spans="1:27" ht="24.95" customHeight="1">
      <c r="A262" s="1"/>
      <c r="B262" s="1"/>
      <c r="C262" s="48" t="str">
        <f>IF(B262="","",IFERROR(INDEX(SakesV5[銘柄],MATCH(B262,SakesV5[酒款ID],0)),"酒款ID未找到"))</f>
        <v/>
      </c>
      <c r="D262" s="48" t="str">
        <f>IF(B262="","",IFERROR(INDEX(SakesV5[酒款],MATCH(B262,SakesV5[酒款ID],0)),"酒款ID未找到"))</f>
        <v/>
      </c>
      <c r="E262" s="1"/>
      <c r="F262" s="1"/>
      <c r="G262" s="1"/>
      <c r="H262" s="3"/>
      <c r="I262" s="3"/>
      <c r="J262" s="23"/>
      <c r="K262" s="23"/>
      <c r="L262" s="4"/>
      <c r="M262" s="19"/>
      <c r="N262" s="1"/>
      <c r="O262" s="5"/>
      <c r="P262" s="4"/>
      <c r="Q262" s="1"/>
      <c r="R262" s="1"/>
      <c r="S262" s="3"/>
      <c r="T262" s="1"/>
      <c r="U262" s="1"/>
      <c r="V262" s="1"/>
      <c r="W262" s="1"/>
      <c r="X262" s="5"/>
      <c r="Y262" s="1"/>
      <c r="Z262" s="1"/>
      <c r="AA262" s="3"/>
    </row>
    <row r="263" spans="1:27" ht="24.95" customHeight="1">
      <c r="A263" s="1"/>
      <c r="B263" s="1"/>
      <c r="C263" s="48" t="str">
        <f>IF(B263="","",IFERROR(INDEX(SakesV5[銘柄],MATCH(B263,SakesV5[酒款ID],0)),"酒款ID未找到"))</f>
        <v/>
      </c>
      <c r="D263" s="48" t="str">
        <f>IF(B263="","",IFERROR(INDEX(SakesV5[酒款],MATCH(B263,SakesV5[酒款ID],0)),"酒款ID未找到"))</f>
        <v/>
      </c>
      <c r="E263" s="1"/>
      <c r="F263" s="1"/>
      <c r="G263" s="1"/>
      <c r="H263" s="3"/>
      <c r="I263" s="3"/>
      <c r="J263" s="23"/>
      <c r="K263" s="23"/>
      <c r="L263" s="4"/>
      <c r="M263" s="19"/>
      <c r="N263" s="1"/>
      <c r="O263" s="5"/>
      <c r="P263" s="4"/>
      <c r="Q263" s="1"/>
      <c r="R263" s="1"/>
      <c r="S263" s="3"/>
      <c r="T263" s="1"/>
      <c r="U263" s="1"/>
      <c r="V263" s="1"/>
      <c r="W263" s="1"/>
      <c r="X263" s="5"/>
      <c r="Y263" s="1"/>
      <c r="Z263" s="1"/>
      <c r="AA263" s="3"/>
    </row>
    <row r="264" spans="1:27" ht="24.95" customHeight="1">
      <c r="A264" s="1"/>
      <c r="B264" s="1"/>
      <c r="C264" s="48" t="str">
        <f>IF(B264="","",IFERROR(INDEX(SakesV5[銘柄],MATCH(B264,SakesV5[酒款ID],0)),"酒款ID未找到"))</f>
        <v/>
      </c>
      <c r="D264" s="48" t="str">
        <f>IF(B264="","",IFERROR(INDEX(SakesV5[酒款],MATCH(B264,SakesV5[酒款ID],0)),"酒款ID未找到"))</f>
        <v/>
      </c>
      <c r="E264" s="1"/>
      <c r="F264" s="1"/>
      <c r="G264" s="1"/>
      <c r="H264" s="3"/>
      <c r="I264" s="3"/>
      <c r="J264" s="23"/>
      <c r="K264" s="23"/>
      <c r="L264" s="4"/>
      <c r="M264" s="19"/>
      <c r="N264" s="1"/>
      <c r="O264" s="5"/>
      <c r="P264" s="4"/>
      <c r="Q264" s="1"/>
      <c r="R264" s="1"/>
      <c r="S264" s="3"/>
      <c r="T264" s="1"/>
      <c r="U264" s="1"/>
      <c r="V264" s="1"/>
      <c r="W264" s="1"/>
      <c r="X264" s="5"/>
      <c r="Y264" s="1"/>
      <c r="Z264" s="1"/>
      <c r="AA264" s="3"/>
    </row>
    <row r="265" spans="1:27" ht="24.95" customHeight="1">
      <c r="A265" s="1"/>
      <c r="B265" s="1"/>
      <c r="C265" s="48" t="str">
        <f>IF(B265="","",IFERROR(INDEX(SakesV5[銘柄],MATCH(B265,SakesV5[酒款ID],0)),"酒款ID未找到"))</f>
        <v/>
      </c>
      <c r="D265" s="48" t="str">
        <f>IF(B265="","",IFERROR(INDEX(SakesV5[酒款],MATCH(B265,SakesV5[酒款ID],0)),"酒款ID未找到"))</f>
        <v/>
      </c>
      <c r="E265" s="1"/>
      <c r="F265" s="1"/>
      <c r="G265" s="1"/>
      <c r="H265" s="3"/>
      <c r="I265" s="3"/>
      <c r="J265" s="23"/>
      <c r="K265" s="23"/>
      <c r="L265" s="4"/>
      <c r="M265" s="19"/>
      <c r="N265" s="1"/>
      <c r="O265" s="5"/>
      <c r="P265" s="4"/>
      <c r="Q265" s="1"/>
      <c r="R265" s="1"/>
      <c r="S265" s="3"/>
      <c r="T265" s="1"/>
      <c r="U265" s="1"/>
      <c r="V265" s="1"/>
      <c r="W265" s="1"/>
      <c r="X265" s="5"/>
      <c r="Y265" s="1"/>
      <c r="Z265" s="1"/>
      <c r="AA265" s="3"/>
    </row>
    <row r="266" spans="1:27" ht="24.95" customHeight="1">
      <c r="A266" s="1"/>
      <c r="B266" s="1"/>
      <c r="C266" s="48" t="str">
        <f>IF(B266="","",IFERROR(INDEX(SakesV5[銘柄],MATCH(B266,SakesV5[酒款ID],0)),"酒款ID未找到"))</f>
        <v/>
      </c>
      <c r="D266" s="48" t="str">
        <f>IF(B266="","",IFERROR(INDEX(SakesV5[酒款],MATCH(B266,SakesV5[酒款ID],0)),"酒款ID未找到"))</f>
        <v/>
      </c>
      <c r="E266" s="1"/>
      <c r="F266" s="1"/>
      <c r="G266" s="1"/>
      <c r="H266" s="3"/>
      <c r="I266" s="3"/>
      <c r="J266" s="23"/>
      <c r="K266" s="23"/>
      <c r="L266" s="4"/>
      <c r="M266" s="19"/>
      <c r="N266" s="1"/>
      <c r="O266" s="5"/>
      <c r="P266" s="4"/>
      <c r="Q266" s="1"/>
      <c r="R266" s="1"/>
      <c r="S266" s="3"/>
      <c r="T266" s="1"/>
      <c r="U266" s="1"/>
      <c r="V266" s="1"/>
      <c r="W266" s="1"/>
      <c r="X266" s="5"/>
      <c r="Y266" s="1"/>
      <c r="Z266" s="1"/>
      <c r="AA266" s="3"/>
    </row>
    <row r="267" spans="1:27" ht="24.95" customHeight="1">
      <c r="A267" s="1"/>
      <c r="B267" s="1"/>
      <c r="C267" s="48" t="str">
        <f>IF(B267="","",IFERROR(INDEX(SakesV5[銘柄],MATCH(B267,SakesV5[酒款ID],0)),"酒款ID未找到"))</f>
        <v/>
      </c>
      <c r="D267" s="48" t="str">
        <f>IF(B267="","",IFERROR(INDEX(SakesV5[酒款],MATCH(B267,SakesV5[酒款ID],0)),"酒款ID未找到"))</f>
        <v/>
      </c>
      <c r="E267" s="1"/>
      <c r="F267" s="1"/>
      <c r="G267" s="1"/>
      <c r="H267" s="3"/>
      <c r="I267" s="3"/>
      <c r="J267" s="23"/>
      <c r="K267" s="23"/>
      <c r="L267" s="4"/>
      <c r="M267" s="19"/>
      <c r="N267" s="1"/>
      <c r="O267" s="5"/>
      <c r="P267" s="4"/>
      <c r="Q267" s="1"/>
      <c r="R267" s="1"/>
      <c r="S267" s="3"/>
      <c r="T267" s="1"/>
      <c r="U267" s="1"/>
      <c r="V267" s="1"/>
      <c r="W267" s="1"/>
      <c r="X267" s="5"/>
      <c r="Y267" s="1"/>
      <c r="Z267" s="1"/>
      <c r="AA267" s="3"/>
    </row>
    <row r="268" spans="1:27" ht="24.95" customHeight="1">
      <c r="A268" s="1"/>
      <c r="B268" s="1"/>
      <c r="C268" s="48" t="str">
        <f>IF(B268="","",IFERROR(INDEX(SakesV5[銘柄],MATCH(B268,SakesV5[酒款ID],0)),"酒款ID未找到"))</f>
        <v/>
      </c>
      <c r="D268" s="48" t="str">
        <f>IF(B268="","",IFERROR(INDEX(SakesV5[酒款],MATCH(B268,SakesV5[酒款ID],0)),"酒款ID未找到"))</f>
        <v/>
      </c>
      <c r="E268" s="1"/>
      <c r="F268" s="1"/>
      <c r="G268" s="1"/>
      <c r="H268" s="3"/>
      <c r="I268" s="3"/>
      <c r="J268" s="23"/>
      <c r="K268" s="23"/>
      <c r="L268" s="4"/>
      <c r="M268" s="19"/>
      <c r="N268" s="1"/>
      <c r="O268" s="5"/>
      <c r="P268" s="4"/>
      <c r="Q268" s="1"/>
      <c r="R268" s="1"/>
      <c r="S268" s="3"/>
      <c r="T268" s="1"/>
      <c r="U268" s="1"/>
      <c r="V268" s="1"/>
      <c r="W268" s="1"/>
      <c r="X268" s="5"/>
      <c r="Y268" s="1"/>
      <c r="Z268" s="1"/>
      <c r="AA268" s="3"/>
    </row>
    <row r="269" spans="1:27" ht="24.95" customHeight="1">
      <c r="A269" s="1"/>
      <c r="B269" s="1"/>
      <c r="C269" s="48" t="str">
        <f>IF(B269="","",IFERROR(INDEX(SakesV5[銘柄],MATCH(B269,SakesV5[酒款ID],0)),"酒款ID未找到"))</f>
        <v/>
      </c>
      <c r="D269" s="48" t="str">
        <f>IF(B269="","",IFERROR(INDEX(SakesV5[酒款],MATCH(B269,SakesV5[酒款ID],0)),"酒款ID未找到"))</f>
        <v/>
      </c>
      <c r="E269" s="1"/>
      <c r="F269" s="1"/>
      <c r="G269" s="1"/>
      <c r="H269" s="3"/>
      <c r="I269" s="3"/>
      <c r="J269" s="23"/>
      <c r="K269" s="23"/>
      <c r="L269" s="4"/>
      <c r="M269" s="19"/>
      <c r="N269" s="1"/>
      <c r="O269" s="5"/>
      <c r="P269" s="4"/>
      <c r="Q269" s="1"/>
      <c r="R269" s="1"/>
      <c r="S269" s="3"/>
      <c r="T269" s="1"/>
      <c r="U269" s="1"/>
      <c r="V269" s="1"/>
      <c r="W269" s="1"/>
      <c r="X269" s="5"/>
      <c r="Y269" s="1"/>
      <c r="Z269" s="1"/>
      <c r="AA269" s="3"/>
    </row>
    <row r="270" spans="1:27" ht="24.95" customHeight="1">
      <c r="A270" s="1"/>
      <c r="B270" s="1"/>
      <c r="C270" s="48" t="str">
        <f>IF(B270="","",IFERROR(INDEX(SakesV5[銘柄],MATCH(B270,SakesV5[酒款ID],0)),"酒款ID未找到"))</f>
        <v/>
      </c>
      <c r="D270" s="48" t="str">
        <f>IF(B270="","",IFERROR(INDEX(SakesV5[酒款],MATCH(B270,SakesV5[酒款ID],0)),"酒款ID未找到"))</f>
        <v/>
      </c>
      <c r="E270" s="1"/>
      <c r="F270" s="1"/>
      <c r="G270" s="1"/>
      <c r="H270" s="3"/>
      <c r="I270" s="3"/>
      <c r="J270" s="23"/>
      <c r="K270" s="23"/>
      <c r="L270" s="4"/>
      <c r="M270" s="19"/>
      <c r="N270" s="1"/>
      <c r="O270" s="5"/>
      <c r="P270" s="4"/>
      <c r="Q270" s="1"/>
      <c r="R270" s="1"/>
      <c r="S270" s="3"/>
      <c r="T270" s="1"/>
      <c r="U270" s="1"/>
      <c r="V270" s="1"/>
      <c r="W270" s="1"/>
      <c r="X270" s="5"/>
      <c r="Y270" s="1"/>
      <c r="Z270" s="1"/>
      <c r="AA270" s="3"/>
    </row>
    <row r="271" spans="1:27" ht="24.95" customHeight="1">
      <c r="A271" s="1"/>
      <c r="B271" s="1"/>
      <c r="C271" s="48" t="str">
        <f>IF(B271="","",IFERROR(INDEX(SakesV5[銘柄],MATCH(B271,SakesV5[酒款ID],0)),"酒款ID未找到"))</f>
        <v/>
      </c>
      <c r="D271" s="48" t="str">
        <f>IF(B271="","",IFERROR(INDEX(SakesV5[酒款],MATCH(B271,SakesV5[酒款ID],0)),"酒款ID未找到"))</f>
        <v/>
      </c>
      <c r="E271" s="1"/>
      <c r="F271" s="1"/>
      <c r="G271" s="1"/>
      <c r="H271" s="3"/>
      <c r="I271" s="3"/>
      <c r="J271" s="23"/>
      <c r="K271" s="23"/>
      <c r="L271" s="4"/>
      <c r="M271" s="19"/>
      <c r="N271" s="1"/>
      <c r="O271" s="5"/>
      <c r="P271" s="4"/>
      <c r="Q271" s="1"/>
      <c r="R271" s="1"/>
      <c r="S271" s="3"/>
      <c r="T271" s="1"/>
      <c r="U271" s="1"/>
      <c r="V271" s="1"/>
      <c r="W271" s="1"/>
      <c r="X271" s="5"/>
      <c r="Y271" s="1"/>
      <c r="Z271" s="1"/>
      <c r="AA271" s="3"/>
    </row>
    <row r="272" spans="1:27" ht="24.95" customHeight="1">
      <c r="A272" s="1"/>
      <c r="B272" s="1"/>
      <c r="C272" s="48" t="str">
        <f>IF(B272="","",IFERROR(INDEX(SakesV5[銘柄],MATCH(B272,SakesV5[酒款ID],0)),"酒款ID未找到"))</f>
        <v/>
      </c>
      <c r="D272" s="48" t="str">
        <f>IF(B272="","",IFERROR(INDEX(SakesV5[酒款],MATCH(B272,SakesV5[酒款ID],0)),"酒款ID未找到"))</f>
        <v/>
      </c>
      <c r="E272" s="1"/>
      <c r="F272" s="1"/>
      <c r="G272" s="1"/>
      <c r="H272" s="3"/>
      <c r="I272" s="3"/>
      <c r="J272" s="23"/>
      <c r="K272" s="23"/>
      <c r="L272" s="4"/>
      <c r="M272" s="19"/>
      <c r="N272" s="1"/>
      <c r="O272" s="5"/>
      <c r="P272" s="4"/>
      <c r="Q272" s="1"/>
      <c r="R272" s="1"/>
      <c r="S272" s="3"/>
      <c r="T272" s="1"/>
      <c r="U272" s="1"/>
      <c r="V272" s="1"/>
      <c r="W272" s="1"/>
      <c r="X272" s="5"/>
      <c r="Y272" s="1"/>
      <c r="Z272" s="1"/>
      <c r="AA272" s="3"/>
    </row>
    <row r="273" spans="1:27" ht="24.95" customHeight="1">
      <c r="A273" s="1"/>
      <c r="B273" s="1"/>
      <c r="C273" s="48" t="str">
        <f>IF(B273="","",IFERROR(INDEX(SakesV5[銘柄],MATCH(B273,SakesV5[酒款ID],0)),"酒款ID未找到"))</f>
        <v/>
      </c>
      <c r="D273" s="48" t="str">
        <f>IF(B273="","",IFERROR(INDEX(SakesV5[酒款],MATCH(B273,SakesV5[酒款ID],0)),"酒款ID未找到"))</f>
        <v/>
      </c>
      <c r="E273" s="1"/>
      <c r="F273" s="1"/>
      <c r="G273" s="1"/>
      <c r="H273" s="3"/>
      <c r="I273" s="3"/>
      <c r="J273" s="23"/>
      <c r="K273" s="23"/>
      <c r="L273" s="4"/>
      <c r="M273" s="19"/>
      <c r="N273" s="1"/>
      <c r="O273" s="5"/>
      <c r="P273" s="4"/>
      <c r="Q273" s="1"/>
      <c r="R273" s="1"/>
      <c r="S273" s="3"/>
      <c r="T273" s="1"/>
      <c r="U273" s="1"/>
      <c r="V273" s="1"/>
      <c r="W273" s="1"/>
      <c r="X273" s="5"/>
      <c r="Y273" s="1"/>
      <c r="Z273" s="1"/>
      <c r="AA273" s="3"/>
    </row>
    <row r="274" spans="1:27" ht="24.95" customHeight="1">
      <c r="A274" s="1"/>
      <c r="B274" s="1"/>
      <c r="C274" s="48" t="str">
        <f>IF(B274="","",IFERROR(INDEX(SakesV5[銘柄],MATCH(B274,SakesV5[酒款ID],0)),"酒款ID未找到"))</f>
        <v/>
      </c>
      <c r="D274" s="48" t="str">
        <f>IF(B274="","",IFERROR(INDEX(SakesV5[酒款],MATCH(B274,SakesV5[酒款ID],0)),"酒款ID未找到"))</f>
        <v/>
      </c>
      <c r="E274" s="1"/>
      <c r="F274" s="1"/>
      <c r="G274" s="1"/>
      <c r="H274" s="3"/>
      <c r="I274" s="3"/>
      <c r="J274" s="23"/>
      <c r="K274" s="23"/>
      <c r="L274" s="4"/>
      <c r="M274" s="19"/>
      <c r="N274" s="1"/>
      <c r="O274" s="5"/>
      <c r="P274" s="4"/>
      <c r="Q274" s="1"/>
      <c r="R274" s="1"/>
      <c r="S274" s="3"/>
      <c r="T274" s="1"/>
      <c r="U274" s="1"/>
      <c r="V274" s="1"/>
      <c r="W274" s="1"/>
      <c r="X274" s="5"/>
      <c r="Y274" s="1"/>
      <c r="Z274" s="1"/>
      <c r="AA274" s="3"/>
    </row>
    <row r="275" spans="1:27" ht="24.95" customHeight="1">
      <c r="A275" s="1"/>
      <c r="B275" s="1"/>
      <c r="C275" s="48" t="str">
        <f>IF(B275="","",IFERROR(INDEX(SakesV5[銘柄],MATCH(B275,SakesV5[酒款ID],0)),"酒款ID未找到"))</f>
        <v/>
      </c>
      <c r="D275" s="48" t="str">
        <f>IF(B275="","",IFERROR(INDEX(SakesV5[酒款],MATCH(B275,SakesV5[酒款ID],0)),"酒款ID未找到"))</f>
        <v/>
      </c>
      <c r="E275" s="1"/>
      <c r="F275" s="1"/>
      <c r="G275" s="1"/>
      <c r="H275" s="3"/>
      <c r="I275" s="3"/>
      <c r="J275" s="23"/>
      <c r="K275" s="23"/>
      <c r="L275" s="4"/>
      <c r="M275" s="19"/>
      <c r="N275" s="1"/>
      <c r="O275" s="5"/>
      <c r="P275" s="4"/>
      <c r="Q275" s="1"/>
      <c r="R275" s="1"/>
      <c r="S275" s="3"/>
      <c r="T275" s="1"/>
      <c r="U275" s="1"/>
      <c r="V275" s="1"/>
      <c r="W275" s="1"/>
      <c r="X275" s="5"/>
      <c r="Y275" s="1"/>
      <c r="Z275" s="1"/>
      <c r="AA275" s="3"/>
    </row>
    <row r="276" spans="1:27" ht="24.95" customHeight="1">
      <c r="A276" s="1"/>
      <c r="B276" s="1"/>
      <c r="C276" s="48" t="str">
        <f>IF(B276="","",IFERROR(INDEX(SakesV5[銘柄],MATCH(B276,SakesV5[酒款ID],0)),"酒款ID未找到"))</f>
        <v/>
      </c>
      <c r="D276" s="48" t="str">
        <f>IF(B276="","",IFERROR(INDEX(SakesV5[酒款],MATCH(B276,SakesV5[酒款ID],0)),"酒款ID未找到"))</f>
        <v/>
      </c>
      <c r="E276" s="1"/>
      <c r="F276" s="1"/>
      <c r="G276" s="1"/>
      <c r="H276" s="3"/>
      <c r="I276" s="3"/>
      <c r="J276" s="23"/>
      <c r="K276" s="23"/>
      <c r="L276" s="4"/>
      <c r="M276" s="19"/>
      <c r="N276" s="1"/>
      <c r="O276" s="5"/>
      <c r="P276" s="4"/>
      <c r="Q276" s="1"/>
      <c r="R276" s="1"/>
      <c r="S276" s="3"/>
      <c r="T276" s="1"/>
      <c r="U276" s="1"/>
      <c r="V276" s="1"/>
      <c r="W276" s="1"/>
      <c r="X276" s="5"/>
      <c r="Y276" s="1"/>
      <c r="Z276" s="1"/>
      <c r="AA276" s="3"/>
    </row>
    <row r="277" spans="1:27" ht="24.95" customHeight="1">
      <c r="A277" s="1"/>
      <c r="B277" s="1"/>
      <c r="C277" s="48" t="str">
        <f>IF(B277="","",IFERROR(INDEX(SakesV5[銘柄],MATCH(B277,SakesV5[酒款ID],0)),"酒款ID未找到"))</f>
        <v/>
      </c>
      <c r="D277" s="48" t="str">
        <f>IF(B277="","",IFERROR(INDEX(SakesV5[酒款],MATCH(B277,SakesV5[酒款ID],0)),"酒款ID未找到"))</f>
        <v/>
      </c>
      <c r="E277" s="1"/>
      <c r="F277" s="1"/>
      <c r="G277" s="1"/>
      <c r="H277" s="3"/>
      <c r="I277" s="3"/>
      <c r="J277" s="23"/>
      <c r="K277" s="23"/>
      <c r="L277" s="4"/>
      <c r="M277" s="19"/>
      <c r="N277" s="1"/>
      <c r="O277" s="5"/>
      <c r="P277" s="4"/>
      <c r="Q277" s="1"/>
      <c r="R277" s="1"/>
      <c r="S277" s="3"/>
      <c r="T277" s="1"/>
      <c r="U277" s="1"/>
      <c r="V277" s="1"/>
      <c r="W277" s="1"/>
      <c r="X277" s="5"/>
      <c r="Y277" s="1"/>
      <c r="Z277" s="1"/>
      <c r="AA277" s="3"/>
    </row>
    <row r="278" spans="1:27" ht="24.95" customHeight="1">
      <c r="A278" s="1"/>
      <c r="B278" s="1"/>
      <c r="C278" s="48" t="str">
        <f>IF(B278="","",IFERROR(INDEX(SakesV5[銘柄],MATCH(B278,SakesV5[酒款ID],0)),"酒款ID未找到"))</f>
        <v/>
      </c>
      <c r="D278" s="48" t="str">
        <f>IF(B278="","",IFERROR(INDEX(SakesV5[酒款],MATCH(B278,SakesV5[酒款ID],0)),"酒款ID未找到"))</f>
        <v/>
      </c>
      <c r="E278" s="1"/>
      <c r="F278" s="1"/>
      <c r="G278" s="1"/>
      <c r="H278" s="3"/>
      <c r="I278" s="3"/>
      <c r="J278" s="23"/>
      <c r="K278" s="23"/>
      <c r="L278" s="4"/>
      <c r="M278" s="19"/>
      <c r="N278" s="1"/>
      <c r="O278" s="5"/>
      <c r="P278" s="4"/>
      <c r="Q278" s="1"/>
      <c r="R278" s="1"/>
      <c r="S278" s="3"/>
      <c r="T278" s="1"/>
      <c r="U278" s="1"/>
      <c r="V278" s="1"/>
      <c r="W278" s="1"/>
      <c r="X278" s="5"/>
      <c r="Y278" s="1"/>
      <c r="Z278" s="1"/>
      <c r="AA278" s="3"/>
    </row>
    <row r="279" spans="1:27" ht="24.95" customHeight="1">
      <c r="A279" s="1"/>
      <c r="B279" s="1"/>
      <c r="C279" s="48" t="str">
        <f>IF(B279="","",IFERROR(INDEX(SakesV5[銘柄],MATCH(B279,SakesV5[酒款ID],0)),"酒款ID未找到"))</f>
        <v/>
      </c>
      <c r="D279" s="48" t="str">
        <f>IF(B279="","",IFERROR(INDEX(SakesV5[酒款],MATCH(B279,SakesV5[酒款ID],0)),"酒款ID未找到"))</f>
        <v/>
      </c>
      <c r="E279" s="1"/>
      <c r="F279" s="1"/>
      <c r="G279" s="1"/>
      <c r="H279" s="3"/>
      <c r="I279" s="3"/>
      <c r="J279" s="23"/>
      <c r="K279" s="23"/>
      <c r="L279" s="4"/>
      <c r="M279" s="19"/>
      <c r="N279" s="1"/>
      <c r="O279" s="5"/>
      <c r="P279" s="4"/>
      <c r="Q279" s="1"/>
      <c r="R279" s="1"/>
      <c r="S279" s="3"/>
      <c r="T279" s="1"/>
      <c r="U279" s="1"/>
      <c r="V279" s="1"/>
      <c r="W279" s="1"/>
      <c r="X279" s="5"/>
      <c r="Y279" s="1"/>
      <c r="Z279" s="1"/>
      <c r="AA279" s="3"/>
    </row>
    <row r="280" spans="1:27" ht="24.95" customHeight="1">
      <c r="A280" s="1"/>
      <c r="B280" s="1"/>
      <c r="C280" s="48" t="str">
        <f>IF(B280="","",IFERROR(INDEX(SakesV5[銘柄],MATCH(B280,SakesV5[酒款ID],0)),"酒款ID未找到"))</f>
        <v/>
      </c>
      <c r="D280" s="48" t="str">
        <f>IF(B280="","",IFERROR(INDEX(SakesV5[酒款],MATCH(B280,SakesV5[酒款ID],0)),"酒款ID未找到"))</f>
        <v/>
      </c>
      <c r="E280" s="1"/>
      <c r="F280" s="1"/>
      <c r="G280" s="1"/>
      <c r="H280" s="3"/>
      <c r="I280" s="3"/>
      <c r="J280" s="23"/>
      <c r="K280" s="23"/>
      <c r="L280" s="4"/>
      <c r="M280" s="19"/>
      <c r="N280" s="1"/>
      <c r="O280" s="5"/>
      <c r="P280" s="4"/>
      <c r="Q280" s="1"/>
      <c r="R280" s="1"/>
      <c r="S280" s="3"/>
      <c r="T280" s="1"/>
      <c r="U280" s="1"/>
      <c r="V280" s="1"/>
      <c r="W280" s="1"/>
      <c r="X280" s="5"/>
      <c r="Y280" s="1"/>
      <c r="Z280" s="1"/>
      <c r="AA280" s="3"/>
    </row>
    <row r="281" spans="1:27" ht="24.95" customHeight="1">
      <c r="A281" s="1"/>
      <c r="B281" s="1"/>
      <c r="C281" s="48" t="str">
        <f>IF(B281="","",IFERROR(INDEX(SakesV5[銘柄],MATCH(B281,SakesV5[酒款ID],0)),"酒款ID未找到"))</f>
        <v/>
      </c>
      <c r="D281" s="48" t="str">
        <f>IF(B281="","",IFERROR(INDEX(SakesV5[酒款],MATCH(B281,SakesV5[酒款ID],0)),"酒款ID未找到"))</f>
        <v/>
      </c>
      <c r="E281" s="1"/>
      <c r="F281" s="1"/>
      <c r="G281" s="1"/>
      <c r="H281" s="3"/>
      <c r="I281" s="3"/>
      <c r="J281" s="23"/>
      <c r="K281" s="23"/>
      <c r="L281" s="4"/>
      <c r="M281" s="19"/>
      <c r="N281" s="1"/>
      <c r="O281" s="5"/>
      <c r="P281" s="4"/>
      <c r="Q281" s="1"/>
      <c r="R281" s="1"/>
      <c r="S281" s="3"/>
      <c r="T281" s="1"/>
      <c r="U281" s="1"/>
      <c r="V281" s="1"/>
      <c r="W281" s="1"/>
      <c r="X281" s="5"/>
      <c r="Y281" s="1"/>
      <c r="Z281" s="1"/>
      <c r="AA281" s="3"/>
    </row>
    <row r="282" spans="1:27" ht="24.95" customHeight="1">
      <c r="A282" s="1"/>
      <c r="B282" s="1"/>
      <c r="C282" s="48" t="str">
        <f>IF(B282="","",IFERROR(INDEX(SakesV5[銘柄],MATCH(B282,SakesV5[酒款ID],0)),"酒款ID未找到"))</f>
        <v/>
      </c>
      <c r="D282" s="48" t="str">
        <f>IF(B282="","",IFERROR(INDEX(SakesV5[酒款],MATCH(B282,SakesV5[酒款ID],0)),"酒款ID未找到"))</f>
        <v/>
      </c>
      <c r="E282" s="1"/>
      <c r="F282" s="1"/>
      <c r="G282" s="1"/>
      <c r="H282" s="3"/>
      <c r="I282" s="3"/>
      <c r="J282" s="23"/>
      <c r="K282" s="23"/>
      <c r="L282" s="4"/>
      <c r="M282" s="19"/>
      <c r="N282" s="1"/>
      <c r="O282" s="5"/>
      <c r="P282" s="4"/>
      <c r="Q282" s="1"/>
      <c r="R282" s="1"/>
      <c r="S282" s="3"/>
      <c r="T282" s="1"/>
      <c r="U282" s="1"/>
      <c r="V282" s="1"/>
      <c r="W282" s="1"/>
      <c r="X282" s="5"/>
      <c r="Y282" s="1"/>
      <c r="Z282" s="1"/>
      <c r="AA282" s="3"/>
    </row>
    <row r="283" spans="1:27" ht="24.95" customHeight="1">
      <c r="A283" s="1"/>
      <c r="B283" s="1"/>
      <c r="C283" s="48" t="str">
        <f>IF(B283="","",IFERROR(INDEX(SakesV5[銘柄],MATCH(B283,SakesV5[酒款ID],0)),"酒款ID未找到"))</f>
        <v/>
      </c>
      <c r="D283" s="48" t="str">
        <f>IF(B283="","",IFERROR(INDEX(SakesV5[酒款],MATCH(B283,SakesV5[酒款ID],0)),"酒款ID未找到"))</f>
        <v/>
      </c>
      <c r="E283" s="1"/>
      <c r="F283" s="1"/>
      <c r="G283" s="1"/>
      <c r="H283" s="3"/>
      <c r="I283" s="3"/>
      <c r="J283" s="23"/>
      <c r="K283" s="23"/>
      <c r="L283" s="4"/>
      <c r="M283" s="19"/>
      <c r="N283" s="1"/>
      <c r="O283" s="5"/>
      <c r="P283" s="4"/>
      <c r="Q283" s="1"/>
      <c r="R283" s="1"/>
      <c r="S283" s="3"/>
      <c r="T283" s="1"/>
      <c r="U283" s="1"/>
      <c r="V283" s="1"/>
      <c r="W283" s="1"/>
      <c r="X283" s="5"/>
      <c r="Y283" s="1"/>
      <c r="Z283" s="1"/>
      <c r="AA283" s="3"/>
    </row>
    <row r="284" spans="1:27" ht="24.95" customHeight="1">
      <c r="A284" s="1"/>
      <c r="B284" s="1"/>
      <c r="C284" s="48" t="str">
        <f>IF(B284="","",IFERROR(INDEX(SakesV5[銘柄],MATCH(B284,SakesV5[酒款ID],0)),"酒款ID未找到"))</f>
        <v/>
      </c>
      <c r="D284" s="48" t="str">
        <f>IF(B284="","",IFERROR(INDEX(SakesV5[酒款],MATCH(B284,SakesV5[酒款ID],0)),"酒款ID未找到"))</f>
        <v/>
      </c>
      <c r="E284" s="1"/>
      <c r="F284" s="1"/>
      <c r="G284" s="1"/>
      <c r="H284" s="3"/>
      <c r="I284" s="3"/>
      <c r="J284" s="23"/>
      <c r="K284" s="23"/>
      <c r="L284" s="4"/>
      <c r="M284" s="19"/>
      <c r="N284" s="1"/>
      <c r="O284" s="5"/>
      <c r="P284" s="4"/>
      <c r="Q284" s="1"/>
      <c r="R284" s="1"/>
      <c r="S284" s="3"/>
      <c r="T284" s="1"/>
      <c r="U284" s="1"/>
      <c r="V284" s="1"/>
      <c r="W284" s="1"/>
      <c r="X284" s="5"/>
      <c r="Y284" s="1"/>
      <c r="Z284" s="1"/>
      <c r="AA284" s="3"/>
    </row>
    <row r="285" spans="1:27" ht="24.95" customHeight="1">
      <c r="A285" s="1"/>
      <c r="B285" s="1"/>
      <c r="C285" s="48" t="str">
        <f>IF(B285="","",IFERROR(INDEX(SakesV5[銘柄],MATCH(B285,SakesV5[酒款ID],0)),"酒款ID未找到"))</f>
        <v/>
      </c>
      <c r="D285" s="48" t="str">
        <f>IF(B285="","",IFERROR(INDEX(SakesV5[酒款],MATCH(B285,SakesV5[酒款ID],0)),"酒款ID未找到"))</f>
        <v/>
      </c>
      <c r="E285" s="1"/>
      <c r="F285" s="1"/>
      <c r="G285" s="1"/>
      <c r="H285" s="3"/>
      <c r="I285" s="3"/>
      <c r="J285" s="23"/>
      <c r="K285" s="23"/>
      <c r="L285" s="4"/>
      <c r="M285" s="19"/>
      <c r="N285" s="1"/>
      <c r="O285" s="5"/>
      <c r="P285" s="4"/>
      <c r="Q285" s="1"/>
      <c r="R285" s="1"/>
      <c r="S285" s="3"/>
      <c r="T285" s="1"/>
      <c r="U285" s="1"/>
      <c r="V285" s="1"/>
      <c r="W285" s="1"/>
      <c r="X285" s="5"/>
      <c r="Y285" s="1"/>
      <c r="Z285" s="1"/>
      <c r="AA285" s="3"/>
    </row>
    <row r="286" spans="1:27" ht="24.95" customHeight="1">
      <c r="A286" s="1"/>
      <c r="B286" s="1"/>
      <c r="C286" s="48" t="str">
        <f>IF(B286="","",IFERROR(INDEX(SakesV5[銘柄],MATCH(B286,SakesV5[酒款ID],0)),"酒款ID未找到"))</f>
        <v/>
      </c>
      <c r="D286" s="48" t="str">
        <f>IF(B286="","",IFERROR(INDEX(SakesV5[酒款],MATCH(B286,SakesV5[酒款ID],0)),"酒款ID未找到"))</f>
        <v/>
      </c>
      <c r="E286" s="1"/>
      <c r="F286" s="1"/>
      <c r="G286" s="1"/>
      <c r="H286" s="3"/>
      <c r="I286" s="3"/>
      <c r="J286" s="23"/>
      <c r="K286" s="23"/>
      <c r="L286" s="4"/>
      <c r="M286" s="19"/>
      <c r="N286" s="1"/>
      <c r="O286" s="5"/>
      <c r="P286" s="4"/>
      <c r="Q286" s="1"/>
      <c r="R286" s="1"/>
      <c r="S286" s="3"/>
      <c r="T286" s="1"/>
      <c r="U286" s="1"/>
      <c r="V286" s="1"/>
      <c r="W286" s="1"/>
      <c r="X286" s="5"/>
      <c r="Y286" s="1"/>
      <c r="Z286" s="1"/>
      <c r="AA286" s="3"/>
    </row>
    <row r="287" spans="1:27" ht="24.95" customHeight="1">
      <c r="A287" s="1"/>
      <c r="B287" s="1"/>
      <c r="C287" s="48" t="str">
        <f>IF(B287="","",IFERROR(INDEX(SakesV5[銘柄],MATCH(B287,SakesV5[酒款ID],0)),"酒款ID未找到"))</f>
        <v/>
      </c>
      <c r="D287" s="48" t="str">
        <f>IF(B287="","",IFERROR(INDEX(SakesV5[酒款],MATCH(B287,SakesV5[酒款ID],0)),"酒款ID未找到"))</f>
        <v/>
      </c>
      <c r="E287" s="1"/>
      <c r="F287" s="1"/>
      <c r="G287" s="1"/>
      <c r="H287" s="3"/>
      <c r="I287" s="3"/>
      <c r="J287" s="23"/>
      <c r="K287" s="23"/>
      <c r="L287" s="4"/>
      <c r="M287" s="19"/>
      <c r="N287" s="1"/>
      <c r="O287" s="5"/>
      <c r="P287" s="4"/>
      <c r="Q287" s="1"/>
      <c r="R287" s="1"/>
      <c r="S287" s="3"/>
      <c r="T287" s="1"/>
      <c r="U287" s="1"/>
      <c r="V287" s="1"/>
      <c r="W287" s="1"/>
      <c r="X287" s="5"/>
      <c r="Y287" s="1"/>
      <c r="Z287" s="1"/>
      <c r="AA287" s="3"/>
    </row>
    <row r="288" spans="1:27" ht="24.95" customHeight="1">
      <c r="A288" s="1"/>
      <c r="B288" s="1"/>
      <c r="C288" s="48" t="str">
        <f>IF(B288="","",IFERROR(INDEX(SakesV5[銘柄],MATCH(B288,SakesV5[酒款ID],0)),"酒款ID未找到"))</f>
        <v/>
      </c>
      <c r="D288" s="48" t="str">
        <f>IF(B288="","",IFERROR(INDEX(SakesV5[酒款],MATCH(B288,SakesV5[酒款ID],0)),"酒款ID未找到"))</f>
        <v/>
      </c>
      <c r="E288" s="1"/>
      <c r="F288" s="1"/>
      <c r="G288" s="1"/>
      <c r="H288" s="3"/>
      <c r="I288" s="3"/>
      <c r="J288" s="23"/>
      <c r="K288" s="23"/>
      <c r="L288" s="4"/>
      <c r="M288" s="19"/>
      <c r="N288" s="1"/>
      <c r="O288" s="5"/>
      <c r="P288" s="4"/>
      <c r="Q288" s="1"/>
      <c r="R288" s="1"/>
      <c r="S288" s="3"/>
      <c r="T288" s="1"/>
      <c r="U288" s="1"/>
      <c r="V288" s="1"/>
      <c r="W288" s="1"/>
      <c r="X288" s="5"/>
      <c r="Y288" s="1"/>
      <c r="Z288" s="1"/>
      <c r="AA288" s="3"/>
    </row>
    <row r="289" spans="1:27" ht="24.95" customHeight="1">
      <c r="A289" s="1"/>
      <c r="B289" s="1"/>
      <c r="C289" s="48" t="str">
        <f>IF(B289="","",IFERROR(INDEX(SakesV5[銘柄],MATCH(B289,SakesV5[酒款ID],0)),"酒款ID未找到"))</f>
        <v/>
      </c>
      <c r="D289" s="48" t="str">
        <f>IF(B289="","",IFERROR(INDEX(SakesV5[酒款],MATCH(B289,SakesV5[酒款ID],0)),"酒款ID未找到"))</f>
        <v/>
      </c>
      <c r="E289" s="1"/>
      <c r="F289" s="1"/>
      <c r="G289" s="1"/>
      <c r="H289" s="3"/>
      <c r="I289" s="3"/>
      <c r="J289" s="23"/>
      <c r="K289" s="23"/>
      <c r="L289" s="4"/>
      <c r="M289" s="19"/>
      <c r="N289" s="1"/>
      <c r="O289" s="5"/>
      <c r="P289" s="4"/>
      <c r="Q289" s="1"/>
      <c r="R289" s="1"/>
      <c r="S289" s="3"/>
      <c r="T289" s="1"/>
      <c r="U289" s="1"/>
      <c r="V289" s="1"/>
      <c r="W289" s="1"/>
      <c r="X289" s="5"/>
      <c r="Y289" s="1"/>
      <c r="Z289" s="1"/>
      <c r="AA289" s="3"/>
    </row>
    <row r="290" spans="1:27" ht="24.95" customHeight="1">
      <c r="A290" s="1"/>
      <c r="B290" s="1"/>
      <c r="C290" s="48" t="str">
        <f>IF(B290="","",IFERROR(INDEX(SakesV5[銘柄],MATCH(B290,SakesV5[酒款ID],0)),"酒款ID未找到"))</f>
        <v/>
      </c>
      <c r="D290" s="48" t="str">
        <f>IF(B290="","",IFERROR(INDEX(SakesV5[酒款],MATCH(B290,SakesV5[酒款ID],0)),"酒款ID未找到"))</f>
        <v/>
      </c>
      <c r="E290" s="1"/>
      <c r="F290" s="1"/>
      <c r="G290" s="1"/>
      <c r="H290" s="3"/>
      <c r="I290" s="3"/>
      <c r="J290" s="23"/>
      <c r="K290" s="23"/>
      <c r="L290" s="4"/>
      <c r="M290" s="19"/>
      <c r="N290" s="1"/>
      <c r="O290" s="5"/>
      <c r="P290" s="4"/>
      <c r="Q290" s="1"/>
      <c r="R290" s="1"/>
      <c r="S290" s="3"/>
      <c r="T290" s="1"/>
      <c r="U290" s="1"/>
      <c r="V290" s="1"/>
      <c r="W290" s="1"/>
      <c r="X290" s="5"/>
      <c r="Y290" s="1"/>
      <c r="Z290" s="1"/>
      <c r="AA290" s="3"/>
    </row>
    <row r="291" spans="1:27" ht="24.95" customHeight="1">
      <c r="A291" s="1"/>
      <c r="B291" s="1"/>
      <c r="C291" s="48" t="str">
        <f>IF(B291="","",IFERROR(INDEX(SakesV5[銘柄],MATCH(B291,SakesV5[酒款ID],0)),"酒款ID未找到"))</f>
        <v/>
      </c>
      <c r="D291" s="48" t="str">
        <f>IF(B291="","",IFERROR(INDEX(SakesV5[酒款],MATCH(B291,SakesV5[酒款ID],0)),"酒款ID未找到"))</f>
        <v/>
      </c>
      <c r="E291" s="1"/>
      <c r="F291" s="1"/>
      <c r="G291" s="1"/>
      <c r="H291" s="3"/>
      <c r="I291" s="3"/>
      <c r="J291" s="23"/>
      <c r="K291" s="23"/>
      <c r="L291" s="4"/>
      <c r="M291" s="19"/>
      <c r="N291" s="1"/>
      <c r="O291" s="5"/>
      <c r="P291" s="4"/>
      <c r="Q291" s="1"/>
      <c r="R291" s="1"/>
      <c r="S291" s="3"/>
      <c r="T291" s="1"/>
      <c r="U291" s="1"/>
      <c r="V291" s="1"/>
      <c r="W291" s="1"/>
      <c r="X291" s="5"/>
      <c r="Y291" s="1"/>
      <c r="Z291" s="1"/>
      <c r="AA291" s="3"/>
    </row>
    <row r="292" spans="1:27" ht="24.95" customHeight="1">
      <c r="A292" s="1"/>
      <c r="B292" s="1"/>
      <c r="C292" s="48" t="str">
        <f>IF(B292="","",IFERROR(INDEX(SakesV5[銘柄],MATCH(B292,SakesV5[酒款ID],0)),"酒款ID未找到"))</f>
        <v/>
      </c>
      <c r="D292" s="48" t="str">
        <f>IF(B292="","",IFERROR(INDEX(SakesV5[酒款],MATCH(B292,SakesV5[酒款ID],0)),"酒款ID未找到"))</f>
        <v/>
      </c>
      <c r="E292" s="1"/>
      <c r="F292" s="1"/>
      <c r="G292" s="1"/>
      <c r="H292" s="3"/>
      <c r="I292" s="3"/>
      <c r="J292" s="23"/>
      <c r="K292" s="23"/>
      <c r="L292" s="4"/>
      <c r="M292" s="19"/>
      <c r="N292" s="1"/>
      <c r="O292" s="5"/>
      <c r="P292" s="4"/>
      <c r="Q292" s="1"/>
      <c r="R292" s="1"/>
      <c r="S292" s="3"/>
      <c r="T292" s="1"/>
      <c r="U292" s="1"/>
      <c r="V292" s="1"/>
      <c r="W292" s="1"/>
      <c r="X292" s="5"/>
      <c r="Y292" s="1"/>
      <c r="Z292" s="1"/>
      <c r="AA292" s="3"/>
    </row>
    <row r="293" spans="1:27" ht="24.95" customHeight="1">
      <c r="A293" s="1"/>
      <c r="B293" s="1"/>
      <c r="C293" s="48" t="str">
        <f>IF(B293="","",IFERROR(INDEX(SakesV5[銘柄],MATCH(B293,SakesV5[酒款ID],0)),"酒款ID未找到"))</f>
        <v/>
      </c>
      <c r="D293" s="48" t="str">
        <f>IF(B293="","",IFERROR(INDEX(SakesV5[酒款],MATCH(B293,SakesV5[酒款ID],0)),"酒款ID未找到"))</f>
        <v/>
      </c>
      <c r="E293" s="1"/>
      <c r="F293" s="1"/>
      <c r="G293" s="1"/>
      <c r="H293" s="3"/>
      <c r="I293" s="3"/>
      <c r="J293" s="23"/>
      <c r="K293" s="23"/>
      <c r="L293" s="4"/>
      <c r="M293" s="19"/>
      <c r="N293" s="1"/>
      <c r="O293" s="5"/>
      <c r="P293" s="4"/>
      <c r="Q293" s="1"/>
      <c r="R293" s="1"/>
      <c r="S293" s="3"/>
      <c r="T293" s="1"/>
      <c r="U293" s="1"/>
      <c r="V293" s="1"/>
      <c r="W293" s="1"/>
      <c r="X293" s="5"/>
      <c r="Y293" s="1"/>
      <c r="Z293" s="1"/>
      <c r="AA293" s="3"/>
    </row>
    <row r="294" spans="1:27" ht="24.95" customHeight="1">
      <c r="A294" s="1"/>
      <c r="B294" s="1"/>
      <c r="C294" s="48" t="str">
        <f>IF(B294="","",IFERROR(INDEX(SakesV5[銘柄],MATCH(B294,SakesV5[酒款ID],0)),"酒款ID未找到"))</f>
        <v/>
      </c>
      <c r="D294" s="48" t="str">
        <f>IF(B294="","",IFERROR(INDEX(SakesV5[酒款],MATCH(B294,SakesV5[酒款ID],0)),"酒款ID未找到"))</f>
        <v/>
      </c>
      <c r="E294" s="1"/>
      <c r="F294" s="1"/>
      <c r="G294" s="1"/>
      <c r="H294" s="3"/>
      <c r="I294" s="3"/>
      <c r="J294" s="23"/>
      <c r="K294" s="23"/>
      <c r="L294" s="4"/>
      <c r="M294" s="19"/>
      <c r="N294" s="1"/>
      <c r="O294" s="5"/>
      <c r="P294" s="4"/>
      <c r="Q294" s="1"/>
      <c r="R294" s="1"/>
      <c r="S294" s="3"/>
      <c r="T294" s="1"/>
      <c r="U294" s="1"/>
      <c r="V294" s="1"/>
      <c r="W294" s="1"/>
      <c r="X294" s="5"/>
      <c r="Y294" s="1"/>
      <c r="Z294" s="1"/>
      <c r="AA294" s="3"/>
    </row>
    <row r="295" spans="1:27" ht="24.95" customHeight="1">
      <c r="A295" s="1"/>
      <c r="B295" s="1"/>
      <c r="C295" s="48" t="str">
        <f>IF(B295="","",IFERROR(INDEX(SakesV5[銘柄],MATCH(B295,SakesV5[酒款ID],0)),"酒款ID未找到"))</f>
        <v/>
      </c>
      <c r="D295" s="48" t="str">
        <f>IF(B295="","",IFERROR(INDEX(SakesV5[酒款],MATCH(B295,SakesV5[酒款ID],0)),"酒款ID未找到"))</f>
        <v/>
      </c>
      <c r="E295" s="1"/>
      <c r="F295" s="1"/>
      <c r="G295" s="1"/>
      <c r="H295" s="3"/>
      <c r="I295" s="3"/>
      <c r="J295" s="23"/>
      <c r="K295" s="23"/>
      <c r="L295" s="4"/>
      <c r="M295" s="19"/>
      <c r="N295" s="1"/>
      <c r="O295" s="5"/>
      <c r="P295" s="4"/>
      <c r="Q295" s="1"/>
      <c r="R295" s="1"/>
      <c r="S295" s="3"/>
      <c r="T295" s="1"/>
      <c r="U295" s="1"/>
      <c r="V295" s="1"/>
      <c r="W295" s="1"/>
      <c r="X295" s="5"/>
      <c r="Y295" s="1"/>
      <c r="Z295" s="1"/>
      <c r="AA295" s="3"/>
    </row>
    <row r="296" spans="1:27" ht="24.95" customHeight="1">
      <c r="A296" s="1"/>
      <c r="B296" s="1"/>
      <c r="C296" s="48" t="str">
        <f>IF(B296="","",IFERROR(INDEX(SakesV5[銘柄],MATCH(B296,SakesV5[酒款ID],0)),"酒款ID未找到"))</f>
        <v/>
      </c>
      <c r="D296" s="48" t="str">
        <f>IF(B296="","",IFERROR(INDEX(SakesV5[酒款],MATCH(B296,SakesV5[酒款ID],0)),"酒款ID未找到"))</f>
        <v/>
      </c>
      <c r="E296" s="1"/>
      <c r="F296" s="1"/>
      <c r="G296" s="1"/>
      <c r="H296" s="3"/>
      <c r="I296" s="3"/>
      <c r="J296" s="23"/>
      <c r="K296" s="23"/>
      <c r="L296" s="4"/>
      <c r="M296" s="19"/>
      <c r="N296" s="1"/>
      <c r="O296" s="5"/>
      <c r="P296" s="4"/>
      <c r="Q296" s="1"/>
      <c r="R296" s="1"/>
      <c r="S296" s="3"/>
      <c r="T296" s="1"/>
      <c r="U296" s="1"/>
      <c r="V296" s="1"/>
      <c r="W296" s="1"/>
      <c r="X296" s="5"/>
      <c r="Y296" s="1"/>
      <c r="Z296" s="1"/>
      <c r="AA296" s="3"/>
    </row>
    <row r="297" spans="1:27" ht="24.95" customHeight="1">
      <c r="A297" s="1"/>
      <c r="B297" s="1"/>
      <c r="C297" s="48" t="str">
        <f>IF(B297="","",IFERROR(INDEX(SakesV5[銘柄],MATCH(B297,SakesV5[酒款ID],0)),"酒款ID未找到"))</f>
        <v/>
      </c>
      <c r="D297" s="48" t="str">
        <f>IF(B297="","",IFERROR(INDEX(SakesV5[酒款],MATCH(B297,SakesV5[酒款ID],0)),"酒款ID未找到"))</f>
        <v/>
      </c>
      <c r="E297" s="1"/>
      <c r="F297" s="1"/>
      <c r="G297" s="1"/>
      <c r="H297" s="3"/>
      <c r="I297" s="3"/>
      <c r="J297" s="23"/>
      <c r="K297" s="23"/>
      <c r="L297" s="4"/>
      <c r="M297" s="19"/>
      <c r="N297" s="1"/>
      <c r="O297" s="5"/>
      <c r="P297" s="4"/>
      <c r="Q297" s="1"/>
      <c r="R297" s="1"/>
      <c r="S297" s="3"/>
      <c r="T297" s="1"/>
      <c r="U297" s="1"/>
      <c r="V297" s="1"/>
      <c r="W297" s="1"/>
      <c r="X297" s="5"/>
      <c r="Y297" s="1"/>
      <c r="Z297" s="1"/>
      <c r="AA297" s="3"/>
    </row>
    <row r="298" spans="1:27" ht="24.95" customHeight="1">
      <c r="A298" s="1"/>
      <c r="B298" s="1"/>
      <c r="C298" s="48" t="str">
        <f>IF(B298="","",IFERROR(INDEX(SakesV5[銘柄],MATCH(B298,SakesV5[酒款ID],0)),"酒款ID未找到"))</f>
        <v/>
      </c>
      <c r="D298" s="48" t="str">
        <f>IF(B298="","",IFERROR(INDEX(SakesV5[酒款],MATCH(B298,SakesV5[酒款ID],0)),"酒款ID未找到"))</f>
        <v/>
      </c>
      <c r="E298" s="1"/>
      <c r="F298" s="1"/>
      <c r="G298" s="1"/>
      <c r="H298" s="3"/>
      <c r="I298" s="3"/>
      <c r="J298" s="23"/>
      <c r="K298" s="23"/>
      <c r="L298" s="4"/>
      <c r="M298" s="19"/>
      <c r="N298" s="1"/>
      <c r="O298" s="5"/>
      <c r="P298" s="4"/>
      <c r="Q298" s="1"/>
      <c r="R298" s="1"/>
      <c r="S298" s="3"/>
      <c r="T298" s="1"/>
      <c r="U298" s="1"/>
      <c r="V298" s="1"/>
      <c r="W298" s="1"/>
      <c r="X298" s="5"/>
      <c r="Y298" s="1"/>
      <c r="Z298" s="1"/>
      <c r="AA298" s="3"/>
    </row>
    <row r="299" spans="1:27" ht="24.95" customHeight="1">
      <c r="A299" s="1"/>
      <c r="B299" s="1"/>
      <c r="C299" s="48" t="str">
        <f>IF(B299="","",IFERROR(INDEX(SakesV5[銘柄],MATCH(B299,SakesV5[酒款ID],0)),"酒款ID未找到"))</f>
        <v/>
      </c>
      <c r="D299" s="48" t="str">
        <f>IF(B299="","",IFERROR(INDEX(SakesV5[酒款],MATCH(B299,SakesV5[酒款ID],0)),"酒款ID未找到"))</f>
        <v/>
      </c>
      <c r="E299" s="1"/>
      <c r="F299" s="1"/>
      <c r="G299" s="1"/>
      <c r="H299" s="3"/>
      <c r="I299" s="3"/>
      <c r="J299" s="23"/>
      <c r="K299" s="23"/>
      <c r="L299" s="4"/>
      <c r="M299" s="19"/>
      <c r="N299" s="1"/>
      <c r="O299" s="5"/>
      <c r="P299" s="4"/>
      <c r="Q299" s="1"/>
      <c r="R299" s="1"/>
      <c r="S299" s="3"/>
      <c r="T299" s="1"/>
      <c r="U299" s="1"/>
      <c r="V299" s="1"/>
      <c r="W299" s="1"/>
      <c r="X299" s="5"/>
      <c r="Y299" s="1"/>
      <c r="Z299" s="1"/>
      <c r="AA299" s="3"/>
    </row>
    <row r="300" spans="1:27" ht="24.95" customHeight="1">
      <c r="A300" s="1"/>
      <c r="B300" s="1"/>
      <c r="C300" s="48" t="str">
        <f>IF(B300="","",IFERROR(INDEX(SakesV5[銘柄],MATCH(B300,SakesV5[酒款ID],0)),"酒款ID未找到"))</f>
        <v/>
      </c>
      <c r="D300" s="48" t="str">
        <f>IF(B300="","",IFERROR(INDEX(SakesV5[酒款],MATCH(B300,SakesV5[酒款ID],0)),"酒款ID未找到"))</f>
        <v/>
      </c>
      <c r="E300" s="1"/>
      <c r="F300" s="1"/>
      <c r="G300" s="1"/>
      <c r="H300" s="3"/>
      <c r="I300" s="3"/>
      <c r="J300" s="23"/>
      <c r="K300" s="23"/>
      <c r="L300" s="4"/>
      <c r="M300" s="19"/>
      <c r="N300" s="1"/>
      <c r="O300" s="5"/>
      <c r="P300" s="4"/>
      <c r="Q300" s="1"/>
      <c r="R300" s="1"/>
      <c r="S300" s="3"/>
      <c r="T300" s="1"/>
      <c r="U300" s="1"/>
      <c r="V300" s="1"/>
      <c r="W300" s="1"/>
      <c r="X300" s="5"/>
      <c r="Y300" s="1"/>
      <c r="Z300" s="1"/>
      <c r="AA300" s="3"/>
    </row>
    <row r="301" spans="1:27" ht="24.95" customHeight="1">
      <c r="A301" s="1"/>
      <c r="B301" s="1"/>
      <c r="C301" s="48" t="str">
        <f>IF(B301="","",IFERROR(INDEX(SakesV5[銘柄],MATCH(B301,SakesV5[酒款ID],0)),"酒款ID未找到"))</f>
        <v/>
      </c>
      <c r="D301" s="48" t="str">
        <f>IF(B301="","",IFERROR(INDEX(SakesV5[酒款],MATCH(B301,SakesV5[酒款ID],0)),"酒款ID未找到"))</f>
        <v/>
      </c>
      <c r="E301" s="1"/>
      <c r="F301" s="1"/>
      <c r="G301" s="1"/>
      <c r="H301" s="3"/>
      <c r="I301" s="3"/>
      <c r="J301" s="23"/>
      <c r="K301" s="23"/>
      <c r="L301" s="4"/>
      <c r="M301" s="19"/>
      <c r="N301" s="1"/>
      <c r="O301" s="5"/>
      <c r="P301" s="4"/>
      <c r="Q301" s="1"/>
      <c r="R301" s="1"/>
      <c r="S301" s="3"/>
      <c r="T301" s="1"/>
      <c r="U301" s="1"/>
      <c r="V301" s="1"/>
      <c r="W301" s="1"/>
      <c r="X301" s="5"/>
      <c r="Y301" s="1"/>
      <c r="Z301" s="1"/>
      <c r="AA301" s="3"/>
    </row>
    <row r="302" spans="1:27" ht="24.95" customHeight="1">
      <c r="A302" s="1"/>
      <c r="B302" s="1"/>
      <c r="C302" s="48" t="str">
        <f>IF(B302="","",IFERROR(INDEX(SakesV5[銘柄],MATCH(B302,SakesV5[酒款ID],0)),"酒款ID未找到"))</f>
        <v/>
      </c>
      <c r="D302" s="48" t="str">
        <f>IF(B302="","",IFERROR(INDEX(SakesV5[酒款],MATCH(B302,SakesV5[酒款ID],0)),"酒款ID未找到"))</f>
        <v/>
      </c>
      <c r="E302" s="1"/>
      <c r="F302" s="1"/>
      <c r="G302" s="1"/>
      <c r="H302" s="3"/>
      <c r="I302" s="3"/>
      <c r="J302" s="23"/>
      <c r="K302" s="23"/>
      <c r="L302" s="4"/>
      <c r="M302" s="19"/>
      <c r="N302" s="1"/>
      <c r="O302" s="5"/>
      <c r="P302" s="4"/>
      <c r="Q302" s="1"/>
      <c r="R302" s="1"/>
      <c r="S302" s="3"/>
      <c r="T302" s="1"/>
      <c r="U302" s="1"/>
      <c r="V302" s="1"/>
      <c r="W302" s="1"/>
      <c r="X302" s="5"/>
      <c r="Y302" s="1"/>
      <c r="Z302" s="1"/>
      <c r="AA302" s="3"/>
    </row>
    <row r="303" spans="1:27" ht="24.95" customHeight="1">
      <c r="A303" s="1"/>
      <c r="B303" s="1"/>
      <c r="C303" s="48" t="str">
        <f>IF(B303="","",IFERROR(INDEX(SakesV5[銘柄],MATCH(B303,SakesV5[酒款ID],0)),"酒款ID未找到"))</f>
        <v/>
      </c>
      <c r="D303" s="48" t="str">
        <f>IF(B303="","",IFERROR(INDEX(SakesV5[酒款],MATCH(B303,SakesV5[酒款ID],0)),"酒款ID未找到"))</f>
        <v/>
      </c>
      <c r="E303" s="1"/>
      <c r="F303" s="1"/>
      <c r="G303" s="1"/>
      <c r="H303" s="3"/>
      <c r="I303" s="3"/>
      <c r="J303" s="23"/>
      <c r="K303" s="23"/>
      <c r="L303" s="4"/>
      <c r="M303" s="19"/>
      <c r="N303" s="1"/>
      <c r="O303" s="5"/>
      <c r="P303" s="4"/>
      <c r="Q303" s="1"/>
      <c r="R303" s="1"/>
      <c r="S303" s="3"/>
      <c r="T303" s="1"/>
      <c r="U303" s="1"/>
      <c r="V303" s="1"/>
      <c r="W303" s="1"/>
      <c r="X303" s="5"/>
      <c r="Y303" s="1"/>
      <c r="Z303" s="1"/>
      <c r="AA303" s="3"/>
    </row>
    <row r="304" spans="1:27" ht="24.95" customHeight="1">
      <c r="A304" s="1"/>
      <c r="B304" s="1"/>
      <c r="C304" s="48" t="str">
        <f>IF(B304="","",IFERROR(INDEX(SakesV5[銘柄],MATCH(B304,SakesV5[酒款ID],0)),"酒款ID未找到"))</f>
        <v/>
      </c>
      <c r="D304" s="48" t="str">
        <f>IF(B304="","",IFERROR(INDEX(SakesV5[酒款],MATCH(B304,SakesV5[酒款ID],0)),"酒款ID未找到"))</f>
        <v/>
      </c>
      <c r="E304" s="1"/>
      <c r="F304" s="1"/>
      <c r="G304" s="1"/>
      <c r="H304" s="3"/>
      <c r="I304" s="3"/>
      <c r="J304" s="23"/>
      <c r="K304" s="23"/>
      <c r="L304" s="4"/>
      <c r="M304" s="19"/>
      <c r="N304" s="1"/>
      <c r="O304" s="5"/>
      <c r="P304" s="4"/>
      <c r="Q304" s="1"/>
      <c r="R304" s="1"/>
      <c r="S304" s="3"/>
      <c r="T304" s="1"/>
      <c r="U304" s="1"/>
      <c r="V304" s="1"/>
      <c r="W304" s="1"/>
      <c r="X304" s="5"/>
      <c r="Y304" s="1"/>
      <c r="Z304" s="1"/>
      <c r="AA304" s="3"/>
    </row>
    <row r="305" spans="1:27" ht="24.95" customHeight="1">
      <c r="A305" s="1"/>
      <c r="B305" s="1"/>
      <c r="C305" s="48" t="str">
        <f>IF(B305="","",IFERROR(INDEX(SakesV5[銘柄],MATCH(B305,SakesV5[酒款ID],0)),"酒款ID未找到"))</f>
        <v/>
      </c>
      <c r="D305" s="48" t="str">
        <f>IF(B305="","",IFERROR(INDEX(SakesV5[酒款],MATCH(B305,SakesV5[酒款ID],0)),"酒款ID未找到"))</f>
        <v/>
      </c>
      <c r="E305" s="1"/>
      <c r="F305" s="1"/>
      <c r="G305" s="1"/>
      <c r="H305" s="3"/>
      <c r="I305" s="3"/>
      <c r="J305" s="23"/>
      <c r="K305" s="23"/>
      <c r="L305" s="4"/>
      <c r="M305" s="19"/>
      <c r="N305" s="1"/>
      <c r="O305" s="5"/>
      <c r="P305" s="4"/>
      <c r="Q305" s="1"/>
      <c r="R305" s="1"/>
      <c r="S305" s="3"/>
      <c r="T305" s="1"/>
      <c r="U305" s="1"/>
      <c r="V305" s="1"/>
      <c r="W305" s="1"/>
      <c r="X305" s="5"/>
      <c r="Y305" s="1"/>
      <c r="Z305" s="1"/>
      <c r="AA305" s="3"/>
    </row>
    <row r="306" spans="1:27" ht="24.95" customHeight="1">
      <c r="A306" s="1"/>
      <c r="B306" s="1"/>
      <c r="C306" s="48" t="str">
        <f>IF(B306="","",IFERROR(INDEX(SakesV5[銘柄],MATCH(B306,SakesV5[酒款ID],0)),"酒款ID未找到"))</f>
        <v/>
      </c>
      <c r="D306" s="48" t="str">
        <f>IF(B306="","",IFERROR(INDEX(SakesV5[酒款],MATCH(B306,SakesV5[酒款ID],0)),"酒款ID未找到"))</f>
        <v/>
      </c>
      <c r="E306" s="1"/>
      <c r="F306" s="1"/>
      <c r="G306" s="1"/>
      <c r="H306" s="3"/>
      <c r="I306" s="3"/>
      <c r="J306" s="23"/>
      <c r="K306" s="23"/>
      <c r="L306" s="4"/>
      <c r="M306" s="19"/>
      <c r="N306" s="1"/>
      <c r="O306" s="5"/>
      <c r="P306" s="4"/>
      <c r="Q306" s="1"/>
      <c r="R306" s="1"/>
      <c r="S306" s="3"/>
      <c r="T306" s="1"/>
      <c r="U306" s="1"/>
      <c r="V306" s="1"/>
      <c r="W306" s="1"/>
      <c r="X306" s="5"/>
      <c r="Y306" s="1"/>
      <c r="Z306" s="1"/>
      <c r="AA306" s="3"/>
    </row>
    <row r="307" spans="1:27" ht="24.95" customHeight="1">
      <c r="A307" s="1"/>
      <c r="B307" s="1"/>
      <c r="C307" s="48" t="str">
        <f>IF(B307="","",IFERROR(INDEX(SakesV5[銘柄],MATCH(B307,SakesV5[酒款ID],0)),"酒款ID未找到"))</f>
        <v/>
      </c>
      <c r="D307" s="48" t="str">
        <f>IF(B307="","",IFERROR(INDEX(SakesV5[酒款],MATCH(B307,SakesV5[酒款ID],0)),"酒款ID未找到"))</f>
        <v/>
      </c>
      <c r="E307" s="1"/>
      <c r="F307" s="1"/>
      <c r="G307" s="1"/>
      <c r="H307" s="3"/>
      <c r="I307" s="3"/>
      <c r="J307" s="23"/>
      <c r="K307" s="23"/>
      <c r="L307" s="4"/>
      <c r="M307" s="19"/>
      <c r="N307" s="1"/>
      <c r="O307" s="5"/>
      <c r="P307" s="4"/>
      <c r="Q307" s="1"/>
      <c r="R307" s="1"/>
      <c r="S307" s="3"/>
      <c r="T307" s="1"/>
      <c r="U307" s="1"/>
      <c r="V307" s="1"/>
      <c r="W307" s="1"/>
      <c r="X307" s="5"/>
      <c r="Y307" s="1"/>
      <c r="Z307" s="1"/>
      <c r="AA307" s="3"/>
    </row>
    <row r="308" spans="1:27" ht="24.95" customHeight="1">
      <c r="A308" s="1"/>
      <c r="B308" s="1"/>
      <c r="C308" s="48" t="str">
        <f>IF(B308="","",IFERROR(INDEX(SakesV5[銘柄],MATCH(B308,SakesV5[酒款ID],0)),"酒款ID未找到"))</f>
        <v/>
      </c>
      <c r="D308" s="48" t="str">
        <f>IF(B308="","",IFERROR(INDEX(SakesV5[酒款],MATCH(B308,SakesV5[酒款ID],0)),"酒款ID未找到"))</f>
        <v/>
      </c>
      <c r="E308" s="1"/>
      <c r="F308" s="1"/>
      <c r="G308" s="1"/>
      <c r="H308" s="3"/>
      <c r="I308" s="3"/>
      <c r="J308" s="23"/>
      <c r="K308" s="23"/>
      <c r="L308" s="4"/>
      <c r="M308" s="19"/>
      <c r="N308" s="1"/>
      <c r="O308" s="5"/>
      <c r="P308" s="4"/>
      <c r="Q308" s="1"/>
      <c r="R308" s="1"/>
      <c r="S308" s="3"/>
      <c r="T308" s="1"/>
      <c r="U308" s="1"/>
      <c r="V308" s="1"/>
      <c r="W308" s="1"/>
      <c r="X308" s="5"/>
      <c r="Y308" s="1"/>
      <c r="Z308" s="1"/>
      <c r="AA308" s="3"/>
    </row>
    <row r="309" spans="1:27" ht="24.95" customHeight="1">
      <c r="A309" s="1"/>
      <c r="B309" s="1"/>
      <c r="C309" s="48" t="str">
        <f>IF(B309="","",IFERROR(INDEX(SakesV5[銘柄],MATCH(B309,SakesV5[酒款ID],0)),"酒款ID未找到"))</f>
        <v/>
      </c>
      <c r="D309" s="48" t="str">
        <f>IF(B309="","",IFERROR(INDEX(SakesV5[酒款],MATCH(B309,SakesV5[酒款ID],0)),"酒款ID未找到"))</f>
        <v/>
      </c>
      <c r="E309" s="1"/>
      <c r="F309" s="1"/>
      <c r="G309" s="1"/>
      <c r="H309" s="3"/>
      <c r="I309" s="3"/>
      <c r="J309" s="23"/>
      <c r="K309" s="23"/>
      <c r="L309" s="4"/>
      <c r="M309" s="19"/>
      <c r="N309" s="1"/>
      <c r="O309" s="5"/>
      <c r="P309" s="4"/>
      <c r="Q309" s="1"/>
      <c r="R309" s="1"/>
      <c r="S309" s="3"/>
      <c r="T309" s="1"/>
      <c r="U309" s="1"/>
      <c r="V309" s="1"/>
      <c r="W309" s="1"/>
      <c r="X309" s="5"/>
      <c r="Y309" s="1"/>
      <c r="Z309" s="1"/>
      <c r="AA309" s="3"/>
    </row>
    <row r="310" spans="1:27" ht="24.95" customHeight="1">
      <c r="A310" s="1"/>
      <c r="B310" s="1"/>
      <c r="C310" s="48" t="str">
        <f>IF(B310="","",IFERROR(INDEX(SakesV5[銘柄],MATCH(B310,SakesV5[酒款ID],0)),"酒款ID未找到"))</f>
        <v/>
      </c>
      <c r="D310" s="48" t="str">
        <f>IF(B310="","",IFERROR(INDEX(SakesV5[酒款],MATCH(B310,SakesV5[酒款ID],0)),"酒款ID未找到"))</f>
        <v/>
      </c>
      <c r="E310" s="1"/>
      <c r="F310" s="1"/>
      <c r="G310" s="1"/>
      <c r="H310" s="3"/>
      <c r="I310" s="3"/>
      <c r="J310" s="23"/>
      <c r="K310" s="23"/>
      <c r="L310" s="4"/>
      <c r="M310" s="19"/>
      <c r="N310" s="1"/>
      <c r="O310" s="5"/>
      <c r="P310" s="4"/>
      <c r="Q310" s="1"/>
      <c r="R310" s="1"/>
      <c r="S310" s="3"/>
      <c r="T310" s="1"/>
      <c r="U310" s="1"/>
      <c r="V310" s="1"/>
      <c r="W310" s="1"/>
      <c r="X310" s="5"/>
      <c r="Y310" s="1"/>
      <c r="Z310" s="1"/>
      <c r="AA310" s="3"/>
    </row>
    <row r="311" spans="1:27" ht="24.95" customHeight="1">
      <c r="A311" s="1"/>
      <c r="B311" s="1"/>
      <c r="C311" s="48" t="str">
        <f>IF(B311="","",IFERROR(INDEX(SakesV5[銘柄],MATCH(B311,SakesV5[酒款ID],0)),"酒款ID未找到"))</f>
        <v/>
      </c>
      <c r="D311" s="48" t="str">
        <f>IF(B311="","",IFERROR(INDEX(SakesV5[酒款],MATCH(B311,SakesV5[酒款ID],0)),"酒款ID未找到"))</f>
        <v/>
      </c>
      <c r="E311" s="1"/>
      <c r="F311" s="1"/>
      <c r="G311" s="1"/>
      <c r="H311" s="3"/>
      <c r="I311" s="3"/>
      <c r="J311" s="23"/>
      <c r="K311" s="23"/>
      <c r="L311" s="4"/>
      <c r="M311" s="19"/>
      <c r="N311" s="1"/>
      <c r="O311" s="5"/>
      <c r="P311" s="4"/>
      <c r="Q311" s="1"/>
      <c r="R311" s="1"/>
      <c r="S311" s="3"/>
      <c r="T311" s="1"/>
      <c r="U311" s="1"/>
      <c r="V311" s="1"/>
      <c r="W311" s="1"/>
      <c r="X311" s="5"/>
      <c r="Y311" s="1"/>
      <c r="Z311" s="1"/>
      <c r="AA311" s="3"/>
    </row>
    <row r="312" spans="1:27" ht="24.95" customHeight="1">
      <c r="A312" s="1"/>
      <c r="B312" s="1"/>
      <c r="C312" s="48" t="str">
        <f>IF(B312="","",IFERROR(INDEX(SakesV5[銘柄],MATCH(B312,SakesV5[酒款ID],0)),"酒款ID未找到"))</f>
        <v/>
      </c>
      <c r="D312" s="48" t="str">
        <f>IF(B312="","",IFERROR(INDEX(SakesV5[酒款],MATCH(B312,SakesV5[酒款ID],0)),"酒款ID未找到"))</f>
        <v/>
      </c>
      <c r="E312" s="1"/>
      <c r="F312" s="1"/>
      <c r="G312" s="1"/>
      <c r="H312" s="3"/>
      <c r="I312" s="3"/>
      <c r="J312" s="23"/>
      <c r="K312" s="23"/>
      <c r="L312" s="4"/>
      <c r="M312" s="19"/>
      <c r="N312" s="1"/>
      <c r="O312" s="5"/>
      <c r="P312" s="4"/>
      <c r="Q312" s="1"/>
      <c r="R312" s="1"/>
      <c r="S312" s="3"/>
      <c r="T312" s="1"/>
      <c r="U312" s="1"/>
      <c r="V312" s="1"/>
      <c r="W312" s="1"/>
      <c r="X312" s="5"/>
      <c r="Y312" s="1"/>
      <c r="Z312" s="1"/>
      <c r="AA312" s="3"/>
    </row>
    <row r="313" spans="1:27" ht="24.95" customHeight="1">
      <c r="A313" s="1"/>
      <c r="B313" s="1"/>
      <c r="C313" s="48" t="str">
        <f>IF(B313="","",IFERROR(INDEX(SakesV5[銘柄],MATCH(B313,SakesV5[酒款ID],0)),"酒款ID未找到"))</f>
        <v/>
      </c>
      <c r="D313" s="48" t="str">
        <f>IF(B313="","",IFERROR(INDEX(SakesV5[酒款],MATCH(B313,SakesV5[酒款ID],0)),"酒款ID未找到"))</f>
        <v/>
      </c>
      <c r="E313" s="1"/>
      <c r="F313" s="1"/>
      <c r="G313" s="1"/>
      <c r="H313" s="3"/>
      <c r="I313" s="3"/>
      <c r="J313" s="23"/>
      <c r="K313" s="23"/>
      <c r="L313" s="4"/>
      <c r="M313" s="19"/>
      <c r="N313" s="1"/>
      <c r="O313" s="5"/>
      <c r="P313" s="4"/>
      <c r="Q313" s="1"/>
      <c r="R313" s="1"/>
      <c r="S313" s="3"/>
      <c r="T313" s="1"/>
      <c r="U313" s="1"/>
      <c r="V313" s="1"/>
      <c r="W313" s="1"/>
      <c r="X313" s="5"/>
      <c r="Y313" s="1"/>
      <c r="Z313" s="1"/>
      <c r="AA313" s="3"/>
    </row>
    <row r="314" spans="1:27" ht="24.95" customHeight="1">
      <c r="A314" s="1"/>
      <c r="B314" s="1"/>
      <c r="C314" s="48" t="str">
        <f>IF(B314="","",IFERROR(INDEX(SakesV5[銘柄],MATCH(B314,SakesV5[酒款ID],0)),"酒款ID未找到"))</f>
        <v/>
      </c>
      <c r="D314" s="48" t="str">
        <f>IF(B314="","",IFERROR(INDEX(SakesV5[酒款],MATCH(B314,SakesV5[酒款ID],0)),"酒款ID未找到"))</f>
        <v/>
      </c>
      <c r="E314" s="1"/>
      <c r="F314" s="1"/>
      <c r="G314" s="1"/>
      <c r="H314" s="3"/>
      <c r="I314" s="3"/>
      <c r="J314" s="23"/>
      <c r="K314" s="23"/>
      <c r="L314" s="4"/>
      <c r="M314" s="19"/>
      <c r="N314" s="1"/>
      <c r="O314" s="5"/>
      <c r="P314" s="4"/>
      <c r="Q314" s="1"/>
      <c r="R314" s="1"/>
      <c r="S314" s="3"/>
      <c r="T314" s="1"/>
      <c r="U314" s="1"/>
      <c r="V314" s="1"/>
      <c r="W314" s="1"/>
      <c r="X314" s="5"/>
      <c r="Y314" s="1"/>
      <c r="Z314" s="1"/>
      <c r="AA314" s="3"/>
    </row>
    <row r="315" spans="1:27" ht="24.95" customHeight="1">
      <c r="A315" s="1"/>
      <c r="B315" s="1"/>
      <c r="C315" s="48" t="str">
        <f>IF(B315="","",IFERROR(INDEX(SakesV5[銘柄],MATCH(B315,SakesV5[酒款ID],0)),"酒款ID未找到"))</f>
        <v/>
      </c>
      <c r="D315" s="48" t="str">
        <f>IF(B315="","",IFERROR(INDEX(SakesV5[酒款],MATCH(B315,SakesV5[酒款ID],0)),"酒款ID未找到"))</f>
        <v/>
      </c>
      <c r="E315" s="1"/>
      <c r="F315" s="1"/>
      <c r="G315" s="1"/>
      <c r="H315" s="3"/>
      <c r="I315" s="3"/>
      <c r="J315" s="23"/>
      <c r="K315" s="23"/>
      <c r="L315" s="4"/>
      <c r="M315" s="19"/>
      <c r="N315" s="1"/>
      <c r="O315" s="5"/>
      <c r="P315" s="4"/>
      <c r="Q315" s="1"/>
      <c r="R315" s="1"/>
      <c r="S315" s="3"/>
      <c r="T315" s="1"/>
      <c r="U315" s="1"/>
      <c r="V315" s="1"/>
      <c r="W315" s="1"/>
      <c r="X315" s="5"/>
      <c r="Y315" s="1"/>
      <c r="Z315" s="1"/>
      <c r="AA315" s="3"/>
    </row>
    <row r="316" spans="1:27" ht="24.95" customHeight="1">
      <c r="A316" s="1"/>
      <c r="B316" s="1"/>
      <c r="C316" s="48" t="str">
        <f>IF(B316="","",IFERROR(INDEX(SakesV5[銘柄],MATCH(B316,SakesV5[酒款ID],0)),"酒款ID未找到"))</f>
        <v/>
      </c>
      <c r="D316" s="48" t="str">
        <f>IF(B316="","",IFERROR(INDEX(SakesV5[酒款],MATCH(B316,SakesV5[酒款ID],0)),"酒款ID未找到"))</f>
        <v/>
      </c>
      <c r="E316" s="1"/>
      <c r="F316" s="1"/>
      <c r="G316" s="1"/>
      <c r="H316" s="3"/>
      <c r="I316" s="3"/>
      <c r="J316" s="23"/>
      <c r="K316" s="23"/>
      <c r="L316" s="4"/>
      <c r="M316" s="19"/>
      <c r="N316" s="1"/>
      <c r="O316" s="5"/>
      <c r="P316" s="4"/>
      <c r="Q316" s="1"/>
      <c r="R316" s="1"/>
      <c r="S316" s="3"/>
      <c r="T316" s="1"/>
      <c r="U316" s="1"/>
      <c r="V316" s="1"/>
      <c r="W316" s="1"/>
      <c r="X316" s="5"/>
      <c r="Y316" s="1"/>
      <c r="Z316" s="1"/>
      <c r="AA316" s="3"/>
    </row>
    <row r="317" spans="1:27" ht="24.95" customHeight="1">
      <c r="A317" s="1"/>
      <c r="B317" s="1"/>
      <c r="C317" s="48" t="str">
        <f>IF(B317="","",IFERROR(INDEX(SakesV5[銘柄],MATCH(B317,SakesV5[酒款ID],0)),"酒款ID未找到"))</f>
        <v/>
      </c>
      <c r="D317" s="48" t="str">
        <f>IF(B317="","",IFERROR(INDEX(SakesV5[酒款],MATCH(B317,SakesV5[酒款ID],0)),"酒款ID未找到"))</f>
        <v/>
      </c>
      <c r="E317" s="1"/>
      <c r="F317" s="1"/>
      <c r="G317" s="1"/>
      <c r="H317" s="3"/>
      <c r="I317" s="3"/>
      <c r="J317" s="23"/>
      <c r="K317" s="23"/>
      <c r="L317" s="4"/>
      <c r="M317" s="19"/>
      <c r="N317" s="1"/>
      <c r="O317" s="5"/>
      <c r="P317" s="4"/>
      <c r="Q317" s="1"/>
      <c r="R317" s="1"/>
      <c r="S317" s="3"/>
      <c r="T317" s="1"/>
      <c r="U317" s="1"/>
      <c r="V317" s="1"/>
      <c r="W317" s="1"/>
      <c r="X317" s="5"/>
      <c r="Y317" s="1"/>
      <c r="Z317" s="1"/>
      <c r="AA317" s="3"/>
    </row>
    <row r="318" spans="1:27" ht="24.95" customHeight="1">
      <c r="A318" s="1"/>
      <c r="B318" s="1"/>
      <c r="C318" s="48" t="str">
        <f>IF(B318="","",IFERROR(INDEX(SakesV5[銘柄],MATCH(B318,SakesV5[酒款ID],0)),"酒款ID未找到"))</f>
        <v/>
      </c>
      <c r="D318" s="48" t="str">
        <f>IF(B318="","",IFERROR(INDEX(SakesV5[酒款],MATCH(B318,SakesV5[酒款ID],0)),"酒款ID未找到"))</f>
        <v/>
      </c>
      <c r="E318" s="1"/>
      <c r="F318" s="1"/>
      <c r="G318" s="1"/>
      <c r="H318" s="3"/>
      <c r="I318" s="3"/>
      <c r="J318" s="23"/>
      <c r="K318" s="23"/>
      <c r="L318" s="4"/>
      <c r="M318" s="19"/>
      <c r="N318" s="1"/>
      <c r="O318" s="5"/>
      <c r="P318" s="4"/>
      <c r="Q318" s="1"/>
      <c r="R318" s="1"/>
      <c r="S318" s="3"/>
      <c r="T318" s="1"/>
      <c r="U318" s="1"/>
      <c r="V318" s="1"/>
      <c r="W318" s="1"/>
      <c r="X318" s="5"/>
      <c r="Y318" s="1"/>
      <c r="Z318" s="1"/>
      <c r="AA318" s="3"/>
    </row>
    <row r="319" spans="1:27" ht="24.95" customHeight="1">
      <c r="A319" s="1"/>
      <c r="B319" s="1"/>
      <c r="C319" s="48" t="str">
        <f>IF(B319="","",IFERROR(INDEX(SakesV5[銘柄],MATCH(B319,SakesV5[酒款ID],0)),"酒款ID未找到"))</f>
        <v/>
      </c>
      <c r="D319" s="48" t="str">
        <f>IF(B319="","",IFERROR(INDEX(SakesV5[酒款],MATCH(B319,SakesV5[酒款ID],0)),"酒款ID未找到"))</f>
        <v/>
      </c>
      <c r="E319" s="1"/>
      <c r="F319" s="1"/>
      <c r="G319" s="1"/>
      <c r="H319" s="3"/>
      <c r="I319" s="3"/>
      <c r="J319" s="23"/>
      <c r="K319" s="23"/>
      <c r="L319" s="4"/>
      <c r="M319" s="19"/>
      <c r="N319" s="1"/>
      <c r="O319" s="5"/>
      <c r="P319" s="4"/>
      <c r="Q319" s="1"/>
      <c r="R319" s="1"/>
      <c r="S319" s="3"/>
      <c r="T319" s="1"/>
      <c r="U319" s="1"/>
      <c r="V319" s="1"/>
      <c r="W319" s="1"/>
      <c r="X319" s="5"/>
      <c r="Y319" s="1"/>
      <c r="Z319" s="1"/>
      <c r="AA319" s="3"/>
    </row>
    <row r="320" spans="1:27" ht="24.95" customHeight="1">
      <c r="A320" s="1"/>
      <c r="B320" s="1"/>
      <c r="C320" s="48" t="str">
        <f>IF(B320="","",IFERROR(INDEX(SakesV5[銘柄],MATCH(B320,SakesV5[酒款ID],0)),"酒款ID未找到"))</f>
        <v/>
      </c>
      <c r="D320" s="48" t="str">
        <f>IF(B320="","",IFERROR(INDEX(SakesV5[酒款],MATCH(B320,SakesV5[酒款ID],0)),"酒款ID未找到"))</f>
        <v/>
      </c>
      <c r="E320" s="1"/>
      <c r="F320" s="1"/>
      <c r="G320" s="1"/>
      <c r="H320" s="3"/>
      <c r="I320" s="3"/>
      <c r="J320" s="23"/>
      <c r="K320" s="23"/>
      <c r="L320" s="4"/>
      <c r="M320" s="19"/>
      <c r="N320" s="1"/>
      <c r="O320" s="5"/>
      <c r="P320" s="4"/>
      <c r="Q320" s="1"/>
      <c r="R320" s="1"/>
      <c r="S320" s="3"/>
      <c r="T320" s="1"/>
      <c r="U320" s="1"/>
      <c r="V320" s="1"/>
      <c r="W320" s="1"/>
      <c r="X320" s="5"/>
      <c r="Y320" s="1"/>
      <c r="Z320" s="1"/>
      <c r="AA320" s="3"/>
    </row>
    <row r="321" spans="1:27" ht="24.95" customHeight="1">
      <c r="A321" s="1"/>
      <c r="B321" s="1"/>
      <c r="C321" s="48" t="str">
        <f>IF(B321="","",IFERROR(INDEX(SakesV5[銘柄],MATCH(B321,SakesV5[酒款ID],0)),"酒款ID未找到"))</f>
        <v/>
      </c>
      <c r="D321" s="48" t="str">
        <f>IF(B321="","",IFERROR(INDEX(SakesV5[酒款],MATCH(B321,SakesV5[酒款ID],0)),"酒款ID未找到"))</f>
        <v/>
      </c>
      <c r="E321" s="1"/>
      <c r="F321" s="1"/>
      <c r="G321" s="1"/>
      <c r="H321" s="3"/>
      <c r="I321" s="3"/>
      <c r="J321" s="23"/>
      <c r="K321" s="23"/>
      <c r="L321" s="4"/>
      <c r="M321" s="19"/>
      <c r="N321" s="1"/>
      <c r="O321" s="5"/>
      <c r="P321" s="4"/>
      <c r="Q321" s="1"/>
      <c r="R321" s="1"/>
      <c r="S321" s="3"/>
      <c r="T321" s="1"/>
      <c r="U321" s="1"/>
      <c r="V321" s="1"/>
      <c r="W321" s="1"/>
      <c r="X321" s="5"/>
      <c r="Y321" s="1"/>
      <c r="Z321" s="1"/>
      <c r="AA321" s="3"/>
    </row>
    <row r="322" spans="1:27" ht="24.95" customHeight="1">
      <c r="A322" s="1"/>
      <c r="B322" s="1"/>
      <c r="C322" s="48" t="str">
        <f>IF(B322="","",IFERROR(INDEX(SakesV5[銘柄],MATCH(B322,SakesV5[酒款ID],0)),"酒款ID未找到"))</f>
        <v/>
      </c>
      <c r="D322" s="48" t="str">
        <f>IF(B322="","",IFERROR(INDEX(SakesV5[酒款],MATCH(B322,SakesV5[酒款ID],0)),"酒款ID未找到"))</f>
        <v/>
      </c>
      <c r="E322" s="1"/>
      <c r="F322" s="1"/>
      <c r="G322" s="1"/>
      <c r="H322" s="3"/>
      <c r="I322" s="3"/>
      <c r="J322" s="23"/>
      <c r="K322" s="23"/>
      <c r="L322" s="4"/>
      <c r="M322" s="19"/>
      <c r="N322" s="1"/>
      <c r="O322" s="5"/>
      <c r="P322" s="4"/>
      <c r="Q322" s="1"/>
      <c r="R322" s="1"/>
      <c r="S322" s="3"/>
      <c r="T322" s="1"/>
      <c r="U322" s="1"/>
      <c r="V322" s="1"/>
      <c r="W322" s="1"/>
      <c r="X322" s="5"/>
      <c r="Y322" s="1"/>
      <c r="Z322" s="1"/>
      <c r="AA322" s="3"/>
    </row>
    <row r="323" spans="1:27" ht="24.95" customHeight="1">
      <c r="A323" s="1"/>
      <c r="B323" s="1"/>
      <c r="C323" s="48" t="str">
        <f>IF(B323="","",IFERROR(INDEX(SakesV5[銘柄],MATCH(B323,SakesV5[酒款ID],0)),"酒款ID未找到"))</f>
        <v/>
      </c>
      <c r="D323" s="48" t="str">
        <f>IF(B323="","",IFERROR(INDEX(SakesV5[酒款],MATCH(B323,SakesV5[酒款ID],0)),"酒款ID未找到"))</f>
        <v/>
      </c>
      <c r="E323" s="1"/>
      <c r="F323" s="1"/>
      <c r="G323" s="1"/>
      <c r="H323" s="3"/>
      <c r="I323" s="3"/>
      <c r="J323" s="23"/>
      <c r="K323" s="23"/>
      <c r="L323" s="4"/>
      <c r="M323" s="19"/>
      <c r="N323" s="1"/>
      <c r="O323" s="5"/>
      <c r="P323" s="4"/>
      <c r="Q323" s="1"/>
      <c r="R323" s="1"/>
      <c r="S323" s="3"/>
      <c r="T323" s="1"/>
      <c r="U323" s="1"/>
      <c r="V323" s="1"/>
      <c r="W323" s="1"/>
      <c r="X323" s="5"/>
      <c r="Y323" s="1"/>
      <c r="Z323" s="1"/>
      <c r="AA323" s="3"/>
    </row>
    <row r="324" spans="1:27" ht="24.95" customHeight="1">
      <c r="A324" s="1"/>
      <c r="B324" s="1"/>
      <c r="C324" s="48" t="str">
        <f>IF(B324="","",IFERROR(INDEX(SakesV5[銘柄],MATCH(B324,SakesV5[酒款ID],0)),"酒款ID未找到"))</f>
        <v/>
      </c>
      <c r="D324" s="48" t="str">
        <f>IF(B324="","",IFERROR(INDEX(SakesV5[酒款],MATCH(B324,SakesV5[酒款ID],0)),"酒款ID未找到"))</f>
        <v/>
      </c>
      <c r="E324" s="1"/>
      <c r="F324" s="1"/>
      <c r="G324" s="1"/>
      <c r="H324" s="3"/>
      <c r="I324" s="3"/>
      <c r="J324" s="23"/>
      <c r="K324" s="23"/>
      <c r="L324" s="4"/>
      <c r="M324" s="19"/>
      <c r="N324" s="1"/>
      <c r="O324" s="5"/>
      <c r="P324" s="4"/>
      <c r="Q324" s="1"/>
      <c r="R324" s="1"/>
      <c r="S324" s="3"/>
      <c r="T324" s="1"/>
      <c r="U324" s="1"/>
      <c r="V324" s="1"/>
      <c r="W324" s="1"/>
      <c r="X324" s="5"/>
      <c r="Y324" s="1"/>
      <c r="Z324" s="1"/>
      <c r="AA324" s="3"/>
    </row>
    <row r="325" spans="1:27" ht="24.95" customHeight="1">
      <c r="A325" s="1"/>
      <c r="B325" s="1"/>
      <c r="C325" s="48" t="str">
        <f>IF(B325="","",IFERROR(INDEX(SakesV5[銘柄],MATCH(B325,SakesV5[酒款ID],0)),"酒款ID未找到"))</f>
        <v/>
      </c>
      <c r="D325" s="48" t="str">
        <f>IF(B325="","",IFERROR(INDEX(SakesV5[酒款],MATCH(B325,SakesV5[酒款ID],0)),"酒款ID未找到"))</f>
        <v/>
      </c>
      <c r="E325" s="1"/>
      <c r="F325" s="1"/>
      <c r="G325" s="1"/>
      <c r="H325" s="3"/>
      <c r="I325" s="3"/>
      <c r="J325" s="23"/>
      <c r="K325" s="23"/>
      <c r="L325" s="4"/>
      <c r="M325" s="19"/>
      <c r="N325" s="1"/>
      <c r="O325" s="5"/>
      <c r="P325" s="4"/>
      <c r="Q325" s="1"/>
      <c r="R325" s="1"/>
      <c r="S325" s="3"/>
      <c r="T325" s="1"/>
      <c r="U325" s="1"/>
      <c r="V325" s="1"/>
      <c r="W325" s="1"/>
      <c r="X325" s="5"/>
      <c r="Y325" s="1"/>
      <c r="Z325" s="1"/>
      <c r="AA325" s="3"/>
    </row>
    <row r="326" spans="1:27" ht="24.95" customHeight="1">
      <c r="A326" s="1"/>
      <c r="B326" s="1"/>
      <c r="C326" s="48" t="str">
        <f>IF(B326="","",IFERROR(INDEX(SakesV5[銘柄],MATCH(B326,SakesV5[酒款ID],0)),"酒款ID未找到"))</f>
        <v/>
      </c>
      <c r="D326" s="48" t="str">
        <f>IF(B326="","",IFERROR(INDEX(SakesV5[酒款],MATCH(B326,SakesV5[酒款ID],0)),"酒款ID未找到"))</f>
        <v/>
      </c>
      <c r="E326" s="1"/>
      <c r="F326" s="1"/>
      <c r="G326" s="1"/>
      <c r="H326" s="3"/>
      <c r="I326" s="3"/>
      <c r="J326" s="23"/>
      <c r="K326" s="23"/>
      <c r="L326" s="4"/>
      <c r="M326" s="19"/>
      <c r="N326" s="1"/>
      <c r="O326" s="5"/>
      <c r="P326" s="4"/>
      <c r="Q326" s="1"/>
      <c r="R326" s="1"/>
      <c r="S326" s="3"/>
      <c r="T326" s="1"/>
      <c r="U326" s="1"/>
      <c r="V326" s="1"/>
      <c r="W326" s="1"/>
      <c r="X326" s="5"/>
      <c r="Y326" s="1"/>
      <c r="Z326" s="1"/>
      <c r="AA326" s="3"/>
    </row>
    <row r="327" spans="1:27" ht="24.95" customHeight="1">
      <c r="A327" s="1"/>
      <c r="B327" s="1"/>
      <c r="C327" s="48" t="str">
        <f>IF(B327="","",IFERROR(INDEX(SakesV5[銘柄],MATCH(B327,SakesV5[酒款ID],0)),"酒款ID未找到"))</f>
        <v/>
      </c>
      <c r="D327" s="48" t="str">
        <f>IF(B327="","",IFERROR(INDEX(SakesV5[酒款],MATCH(B327,SakesV5[酒款ID],0)),"酒款ID未找到"))</f>
        <v/>
      </c>
      <c r="E327" s="1"/>
      <c r="F327" s="1"/>
      <c r="G327" s="1"/>
      <c r="H327" s="3"/>
      <c r="I327" s="3"/>
      <c r="J327" s="23"/>
      <c r="K327" s="23"/>
      <c r="L327" s="4"/>
      <c r="M327" s="19"/>
      <c r="N327" s="1"/>
      <c r="O327" s="5"/>
      <c r="P327" s="4"/>
      <c r="Q327" s="1"/>
      <c r="R327" s="1"/>
      <c r="S327" s="3"/>
      <c r="T327" s="1"/>
      <c r="U327" s="1"/>
      <c r="V327" s="1"/>
      <c r="W327" s="1"/>
      <c r="X327" s="5"/>
      <c r="Y327" s="1"/>
      <c r="Z327" s="1"/>
      <c r="AA327" s="3"/>
    </row>
    <row r="328" spans="1:27" ht="24.95" customHeight="1">
      <c r="A328" s="1"/>
      <c r="B328" s="1"/>
      <c r="C328" s="48" t="str">
        <f>IF(B328="","",IFERROR(INDEX(SakesV5[銘柄],MATCH(B328,SakesV5[酒款ID],0)),"酒款ID未找到"))</f>
        <v/>
      </c>
      <c r="D328" s="48" t="str">
        <f>IF(B328="","",IFERROR(INDEX(SakesV5[酒款],MATCH(B328,SakesV5[酒款ID],0)),"酒款ID未找到"))</f>
        <v/>
      </c>
      <c r="E328" s="1"/>
      <c r="F328" s="1"/>
      <c r="G328" s="1"/>
      <c r="H328" s="3"/>
      <c r="I328" s="3"/>
      <c r="J328" s="23"/>
      <c r="K328" s="23"/>
      <c r="L328" s="4"/>
      <c r="M328" s="19"/>
      <c r="N328" s="1"/>
      <c r="O328" s="5"/>
      <c r="P328" s="4"/>
      <c r="Q328" s="1"/>
      <c r="R328" s="1"/>
      <c r="S328" s="3"/>
      <c r="T328" s="1"/>
      <c r="U328" s="1"/>
      <c r="V328" s="1"/>
      <c r="W328" s="1"/>
      <c r="X328" s="5"/>
      <c r="Y328" s="1"/>
      <c r="Z328" s="1"/>
      <c r="AA328" s="3"/>
    </row>
    <row r="329" spans="1:27" ht="24.95" customHeight="1">
      <c r="A329" s="1"/>
      <c r="B329" s="1"/>
      <c r="C329" s="48" t="str">
        <f>IF(B329="","",IFERROR(INDEX(SakesV5[銘柄],MATCH(B329,SakesV5[酒款ID],0)),"酒款ID未找到"))</f>
        <v/>
      </c>
      <c r="D329" s="48" t="str">
        <f>IF(B329="","",IFERROR(INDEX(SakesV5[酒款],MATCH(B329,SakesV5[酒款ID],0)),"酒款ID未找到"))</f>
        <v/>
      </c>
      <c r="E329" s="1"/>
      <c r="F329" s="1"/>
      <c r="G329" s="1"/>
      <c r="H329" s="3"/>
      <c r="I329" s="3"/>
      <c r="J329" s="23"/>
      <c r="K329" s="23"/>
      <c r="L329" s="4"/>
      <c r="M329" s="19"/>
      <c r="N329" s="1"/>
      <c r="O329" s="5"/>
      <c r="P329" s="4"/>
      <c r="Q329" s="1"/>
      <c r="R329" s="1"/>
      <c r="S329" s="3"/>
      <c r="T329" s="1"/>
      <c r="U329" s="1"/>
      <c r="V329" s="1"/>
      <c r="W329" s="1"/>
      <c r="X329" s="5"/>
      <c r="Y329" s="1"/>
      <c r="Z329" s="1"/>
      <c r="AA329" s="3"/>
    </row>
    <row r="330" spans="1:27" ht="24.95" customHeight="1">
      <c r="A330" s="1"/>
      <c r="B330" s="1"/>
      <c r="C330" s="48" t="str">
        <f>IF(B330="","",IFERROR(INDEX(SakesV5[銘柄],MATCH(B330,SakesV5[酒款ID],0)),"酒款ID未找到"))</f>
        <v/>
      </c>
      <c r="D330" s="48" t="str">
        <f>IF(B330="","",IFERROR(INDEX(SakesV5[酒款],MATCH(B330,SakesV5[酒款ID],0)),"酒款ID未找到"))</f>
        <v/>
      </c>
      <c r="E330" s="1"/>
      <c r="F330" s="1"/>
      <c r="G330" s="1"/>
      <c r="H330" s="3"/>
      <c r="I330" s="3"/>
      <c r="J330" s="23"/>
      <c r="K330" s="23"/>
      <c r="L330" s="4"/>
      <c r="M330" s="19"/>
      <c r="N330" s="1"/>
      <c r="O330" s="5"/>
      <c r="P330" s="4"/>
      <c r="Q330" s="1"/>
      <c r="R330" s="1"/>
      <c r="S330" s="3"/>
      <c r="T330" s="1"/>
      <c r="U330" s="1"/>
      <c r="V330" s="1"/>
      <c r="W330" s="1"/>
      <c r="X330" s="5"/>
      <c r="Y330" s="1"/>
      <c r="Z330" s="1"/>
      <c r="AA330" s="3"/>
    </row>
    <row r="331" spans="1:27" ht="24.95" customHeight="1">
      <c r="A331" s="1"/>
      <c r="B331" s="1"/>
      <c r="C331" s="48" t="str">
        <f>IF(B331="","",IFERROR(INDEX(SakesV5[銘柄],MATCH(B331,SakesV5[酒款ID],0)),"酒款ID未找到"))</f>
        <v/>
      </c>
      <c r="D331" s="48" t="str">
        <f>IF(B331="","",IFERROR(INDEX(SakesV5[酒款],MATCH(B331,SakesV5[酒款ID],0)),"酒款ID未找到"))</f>
        <v/>
      </c>
      <c r="E331" s="1"/>
      <c r="F331" s="1"/>
      <c r="G331" s="1"/>
      <c r="H331" s="3"/>
      <c r="I331" s="3"/>
      <c r="J331" s="23"/>
      <c r="K331" s="23"/>
      <c r="L331" s="4"/>
      <c r="M331" s="19"/>
      <c r="N331" s="1"/>
      <c r="O331" s="5"/>
      <c r="P331" s="4"/>
      <c r="Q331" s="1"/>
      <c r="R331" s="1"/>
      <c r="S331" s="3"/>
      <c r="T331" s="1"/>
      <c r="U331" s="1"/>
      <c r="V331" s="1"/>
      <c r="W331" s="1"/>
      <c r="X331" s="5"/>
      <c r="Y331" s="1"/>
      <c r="Z331" s="1"/>
      <c r="AA331" s="3"/>
    </row>
    <row r="332" spans="1:27" ht="24.95" customHeight="1">
      <c r="A332" s="1"/>
      <c r="B332" s="1"/>
      <c r="C332" s="48" t="str">
        <f>IF(B332="","",IFERROR(INDEX(SakesV5[銘柄],MATCH(B332,SakesV5[酒款ID],0)),"酒款ID未找到"))</f>
        <v/>
      </c>
      <c r="D332" s="48" t="str">
        <f>IF(B332="","",IFERROR(INDEX(SakesV5[酒款],MATCH(B332,SakesV5[酒款ID],0)),"酒款ID未找到"))</f>
        <v/>
      </c>
      <c r="E332" s="1"/>
      <c r="F332" s="1"/>
      <c r="G332" s="1"/>
      <c r="H332" s="3"/>
      <c r="I332" s="3"/>
      <c r="J332" s="23"/>
      <c r="K332" s="23"/>
      <c r="L332" s="4"/>
      <c r="M332" s="19"/>
      <c r="N332" s="1"/>
      <c r="O332" s="5"/>
      <c r="P332" s="4"/>
      <c r="Q332" s="1"/>
      <c r="R332" s="1"/>
      <c r="S332" s="3"/>
      <c r="T332" s="1"/>
      <c r="U332" s="1"/>
      <c r="V332" s="1"/>
      <c r="W332" s="1"/>
      <c r="X332" s="5"/>
      <c r="Y332" s="1"/>
      <c r="Z332" s="1"/>
      <c r="AA332" s="3"/>
    </row>
    <row r="333" spans="1:27" ht="24.95" customHeight="1">
      <c r="A333" s="1"/>
      <c r="B333" s="1"/>
      <c r="C333" s="48" t="str">
        <f>IF(B333="","",IFERROR(INDEX(SakesV5[銘柄],MATCH(B333,SakesV5[酒款ID],0)),"酒款ID未找到"))</f>
        <v/>
      </c>
      <c r="D333" s="48" t="str">
        <f>IF(B333="","",IFERROR(INDEX(SakesV5[酒款],MATCH(B333,SakesV5[酒款ID],0)),"酒款ID未找到"))</f>
        <v/>
      </c>
      <c r="E333" s="1"/>
      <c r="F333" s="1"/>
      <c r="G333" s="1"/>
      <c r="H333" s="3"/>
      <c r="I333" s="3"/>
      <c r="J333" s="23"/>
      <c r="K333" s="23"/>
      <c r="L333" s="4"/>
      <c r="M333" s="19"/>
      <c r="N333" s="1"/>
      <c r="O333" s="5"/>
      <c r="P333" s="4"/>
      <c r="Q333" s="1"/>
      <c r="R333" s="1"/>
      <c r="S333" s="3"/>
      <c r="T333" s="1"/>
      <c r="U333" s="1"/>
      <c r="V333" s="1"/>
      <c r="W333" s="1"/>
      <c r="X333" s="5"/>
      <c r="Y333" s="1"/>
      <c r="Z333" s="1"/>
      <c r="AA333" s="3"/>
    </row>
    <row r="334" spans="1:27" ht="24.95" customHeight="1">
      <c r="A334" s="1"/>
      <c r="B334" s="1"/>
      <c r="C334" s="48" t="str">
        <f>IF(B334="","",IFERROR(INDEX(SakesV5[銘柄],MATCH(B334,SakesV5[酒款ID],0)),"酒款ID未找到"))</f>
        <v/>
      </c>
      <c r="D334" s="48" t="str">
        <f>IF(B334="","",IFERROR(INDEX(SakesV5[酒款],MATCH(B334,SakesV5[酒款ID],0)),"酒款ID未找到"))</f>
        <v/>
      </c>
      <c r="E334" s="1"/>
      <c r="F334" s="1"/>
      <c r="G334" s="1"/>
      <c r="H334" s="3"/>
      <c r="I334" s="3"/>
      <c r="J334" s="23"/>
      <c r="K334" s="23"/>
      <c r="L334" s="4"/>
      <c r="M334" s="19"/>
      <c r="N334" s="1"/>
      <c r="O334" s="5"/>
      <c r="P334" s="4"/>
      <c r="Q334" s="1"/>
      <c r="R334" s="1"/>
      <c r="S334" s="3"/>
      <c r="T334" s="1"/>
      <c r="U334" s="1"/>
      <c r="V334" s="1"/>
      <c r="W334" s="1"/>
      <c r="X334" s="5"/>
      <c r="Y334" s="1"/>
      <c r="Z334" s="1"/>
      <c r="AA334" s="3"/>
    </row>
    <row r="335" spans="1:27" ht="24.95" customHeight="1">
      <c r="A335" s="1"/>
      <c r="B335" s="1"/>
      <c r="C335" s="48" t="str">
        <f>IF(B335="","",IFERROR(INDEX(SakesV5[銘柄],MATCH(B335,SakesV5[酒款ID],0)),"酒款ID未找到"))</f>
        <v/>
      </c>
      <c r="D335" s="48" t="str">
        <f>IF(B335="","",IFERROR(INDEX(SakesV5[酒款],MATCH(B335,SakesV5[酒款ID],0)),"酒款ID未找到"))</f>
        <v/>
      </c>
      <c r="E335" s="1"/>
      <c r="F335" s="1"/>
      <c r="G335" s="1"/>
      <c r="H335" s="3"/>
      <c r="I335" s="3"/>
      <c r="J335" s="23"/>
      <c r="K335" s="23"/>
      <c r="L335" s="4"/>
      <c r="M335" s="19"/>
      <c r="N335" s="1"/>
      <c r="O335" s="5"/>
      <c r="P335" s="4"/>
      <c r="Q335" s="1"/>
      <c r="R335" s="1"/>
      <c r="S335" s="3"/>
      <c r="T335" s="1"/>
      <c r="U335" s="1"/>
      <c r="V335" s="1"/>
      <c r="W335" s="1"/>
      <c r="X335" s="5"/>
      <c r="Y335" s="1"/>
      <c r="Z335" s="1"/>
      <c r="AA335" s="3"/>
    </row>
    <row r="336" spans="1:27" ht="24.95" customHeight="1">
      <c r="A336" s="1"/>
      <c r="B336" s="1"/>
      <c r="C336" s="48" t="str">
        <f>IF(B336="","",IFERROR(INDEX(SakesV5[銘柄],MATCH(B336,SakesV5[酒款ID],0)),"酒款ID未找到"))</f>
        <v/>
      </c>
      <c r="D336" s="48" t="str">
        <f>IF(B336="","",IFERROR(INDEX(SakesV5[酒款],MATCH(B336,SakesV5[酒款ID],0)),"酒款ID未找到"))</f>
        <v/>
      </c>
      <c r="E336" s="1"/>
      <c r="F336" s="1"/>
      <c r="G336" s="1"/>
      <c r="H336" s="3"/>
      <c r="I336" s="3"/>
      <c r="J336" s="23"/>
      <c r="K336" s="23"/>
      <c r="L336" s="4"/>
      <c r="M336" s="19"/>
      <c r="N336" s="1"/>
      <c r="O336" s="5"/>
      <c r="P336" s="4"/>
      <c r="Q336" s="1"/>
      <c r="R336" s="1"/>
      <c r="S336" s="3"/>
      <c r="T336" s="1"/>
      <c r="U336" s="1"/>
      <c r="V336" s="1"/>
      <c r="W336" s="1"/>
      <c r="X336" s="5"/>
      <c r="Y336" s="1"/>
      <c r="Z336" s="1"/>
      <c r="AA336" s="3"/>
    </row>
    <row r="337" spans="1:27" ht="24.95" customHeight="1">
      <c r="A337" s="1"/>
      <c r="B337" s="1"/>
      <c r="C337" s="48" t="str">
        <f>IF(B337="","",IFERROR(INDEX(SakesV5[銘柄],MATCH(B337,SakesV5[酒款ID],0)),"酒款ID未找到"))</f>
        <v/>
      </c>
      <c r="D337" s="48" t="str">
        <f>IF(B337="","",IFERROR(INDEX(SakesV5[酒款],MATCH(B337,SakesV5[酒款ID],0)),"酒款ID未找到"))</f>
        <v/>
      </c>
      <c r="E337" s="1"/>
      <c r="F337" s="1"/>
      <c r="G337" s="1"/>
      <c r="H337" s="3"/>
      <c r="I337" s="3"/>
      <c r="J337" s="23"/>
      <c r="K337" s="23"/>
      <c r="L337" s="4"/>
      <c r="M337" s="19"/>
      <c r="N337" s="1"/>
      <c r="O337" s="5"/>
      <c r="P337" s="4"/>
      <c r="Q337" s="1"/>
      <c r="R337" s="1"/>
      <c r="S337" s="3"/>
      <c r="T337" s="1"/>
      <c r="U337" s="1"/>
      <c r="V337" s="1"/>
      <c r="W337" s="1"/>
      <c r="X337" s="5"/>
      <c r="Y337" s="1"/>
      <c r="Z337" s="1"/>
      <c r="AA337" s="3"/>
    </row>
    <row r="338" spans="1:27" ht="24.95" customHeight="1">
      <c r="A338" s="1"/>
      <c r="B338" s="1"/>
      <c r="C338" s="48" t="str">
        <f>IF(B338="","",IFERROR(INDEX(SakesV5[銘柄],MATCH(B338,SakesV5[酒款ID],0)),"酒款ID未找到"))</f>
        <v/>
      </c>
      <c r="D338" s="48" t="str">
        <f>IF(B338="","",IFERROR(INDEX(SakesV5[酒款],MATCH(B338,SakesV5[酒款ID],0)),"酒款ID未找到"))</f>
        <v/>
      </c>
      <c r="E338" s="1"/>
      <c r="F338" s="1"/>
      <c r="G338" s="1"/>
      <c r="H338" s="3"/>
      <c r="I338" s="3"/>
      <c r="J338" s="23"/>
      <c r="K338" s="23"/>
      <c r="L338" s="4"/>
      <c r="M338" s="19"/>
      <c r="N338" s="1"/>
      <c r="O338" s="5"/>
      <c r="P338" s="4"/>
      <c r="Q338" s="1"/>
      <c r="R338" s="1"/>
      <c r="S338" s="3"/>
      <c r="T338" s="1"/>
      <c r="U338" s="1"/>
      <c r="V338" s="1"/>
      <c r="W338" s="1"/>
      <c r="X338" s="5"/>
      <c r="Y338" s="1"/>
      <c r="Z338" s="1"/>
      <c r="AA338" s="3"/>
    </row>
    <row r="339" spans="1:27" ht="24.95" customHeight="1">
      <c r="A339" s="1"/>
      <c r="B339" s="1"/>
      <c r="C339" s="48" t="str">
        <f>IF(B339="","",IFERROR(INDEX(SakesV5[銘柄],MATCH(B339,SakesV5[酒款ID],0)),"酒款ID未找到"))</f>
        <v/>
      </c>
      <c r="D339" s="48" t="str">
        <f>IF(B339="","",IFERROR(INDEX(SakesV5[酒款],MATCH(B339,SakesV5[酒款ID],0)),"酒款ID未找到"))</f>
        <v/>
      </c>
      <c r="E339" s="1"/>
      <c r="F339" s="1"/>
      <c r="G339" s="1"/>
      <c r="H339" s="3"/>
      <c r="I339" s="3"/>
      <c r="J339" s="23"/>
      <c r="K339" s="23"/>
      <c r="L339" s="4"/>
      <c r="M339" s="19"/>
      <c r="N339" s="1"/>
      <c r="O339" s="5"/>
      <c r="P339" s="4"/>
      <c r="Q339" s="1"/>
      <c r="R339" s="1"/>
      <c r="S339" s="3"/>
      <c r="T339" s="1"/>
      <c r="U339" s="1"/>
      <c r="V339" s="1"/>
      <c r="W339" s="1"/>
      <c r="X339" s="5"/>
      <c r="Y339" s="1"/>
      <c r="Z339" s="1"/>
      <c r="AA339" s="3"/>
    </row>
    <row r="340" spans="1:27" ht="24.95" customHeight="1">
      <c r="A340" s="1"/>
      <c r="B340" s="1"/>
      <c r="C340" s="48" t="str">
        <f>IF(B340="","",IFERROR(INDEX(SakesV5[銘柄],MATCH(B340,SakesV5[酒款ID],0)),"酒款ID未找到"))</f>
        <v/>
      </c>
      <c r="D340" s="48" t="str">
        <f>IF(B340="","",IFERROR(INDEX(SakesV5[酒款],MATCH(B340,SakesV5[酒款ID],0)),"酒款ID未找到"))</f>
        <v/>
      </c>
      <c r="E340" s="1"/>
      <c r="F340" s="1"/>
      <c r="G340" s="1"/>
      <c r="H340" s="3"/>
      <c r="I340" s="3"/>
      <c r="J340" s="23"/>
      <c r="K340" s="23"/>
      <c r="L340" s="4"/>
      <c r="M340" s="19"/>
      <c r="N340" s="1"/>
      <c r="O340" s="5"/>
      <c r="P340" s="4"/>
      <c r="Q340" s="1"/>
      <c r="R340" s="1"/>
      <c r="S340" s="3"/>
      <c r="T340" s="1"/>
      <c r="U340" s="1"/>
      <c r="V340" s="1"/>
      <c r="W340" s="1"/>
      <c r="X340" s="5"/>
      <c r="Y340" s="1"/>
      <c r="Z340" s="1"/>
      <c r="AA340" s="3"/>
    </row>
    <row r="341" spans="1:27" ht="24.95" customHeight="1">
      <c r="A341" s="1"/>
      <c r="B341" s="1"/>
      <c r="C341" s="48" t="str">
        <f>IF(B341="","",IFERROR(INDEX(SakesV5[銘柄],MATCH(B341,SakesV5[酒款ID],0)),"酒款ID未找到"))</f>
        <v/>
      </c>
      <c r="D341" s="48" t="str">
        <f>IF(B341="","",IFERROR(INDEX(SakesV5[酒款],MATCH(B341,SakesV5[酒款ID],0)),"酒款ID未找到"))</f>
        <v/>
      </c>
      <c r="E341" s="1"/>
      <c r="F341" s="1"/>
      <c r="G341" s="1"/>
      <c r="H341" s="3"/>
      <c r="I341" s="3"/>
      <c r="J341" s="23"/>
      <c r="K341" s="23"/>
      <c r="L341" s="4"/>
      <c r="M341" s="19"/>
      <c r="N341" s="1"/>
      <c r="O341" s="5"/>
      <c r="P341" s="4"/>
      <c r="Q341" s="1"/>
      <c r="R341" s="1"/>
      <c r="S341" s="3"/>
      <c r="T341" s="1"/>
      <c r="U341" s="1"/>
      <c r="V341" s="1"/>
      <c r="W341" s="1"/>
      <c r="X341" s="5"/>
      <c r="Y341" s="1"/>
      <c r="Z341" s="1"/>
      <c r="AA341" s="3"/>
    </row>
    <row r="342" spans="1:27" ht="24.95" customHeight="1">
      <c r="A342" s="1"/>
      <c r="B342" s="1"/>
      <c r="C342" s="48" t="str">
        <f>IF(B342="","",IFERROR(INDEX(SakesV5[銘柄],MATCH(B342,SakesV5[酒款ID],0)),"酒款ID未找到"))</f>
        <v/>
      </c>
      <c r="D342" s="48" t="str">
        <f>IF(B342="","",IFERROR(INDEX(SakesV5[酒款],MATCH(B342,SakesV5[酒款ID],0)),"酒款ID未找到"))</f>
        <v/>
      </c>
      <c r="E342" s="1"/>
      <c r="F342" s="1"/>
      <c r="G342" s="1"/>
      <c r="H342" s="3"/>
      <c r="I342" s="3"/>
      <c r="J342" s="23"/>
      <c r="K342" s="23"/>
      <c r="L342" s="4"/>
      <c r="M342" s="19"/>
      <c r="N342" s="1"/>
      <c r="O342" s="5"/>
      <c r="P342" s="4"/>
      <c r="Q342" s="1"/>
      <c r="R342" s="1"/>
      <c r="S342" s="3"/>
      <c r="T342" s="1"/>
      <c r="U342" s="1"/>
      <c r="V342" s="1"/>
      <c r="W342" s="1"/>
      <c r="X342" s="5"/>
      <c r="Y342" s="1"/>
      <c r="Z342" s="1"/>
      <c r="AA342" s="3"/>
    </row>
    <row r="343" spans="1:27" ht="24.95" customHeight="1">
      <c r="A343" s="1"/>
      <c r="B343" s="1"/>
      <c r="C343" s="48" t="str">
        <f>IF(B343="","",IFERROR(INDEX(SakesV5[銘柄],MATCH(B343,SakesV5[酒款ID],0)),"酒款ID未找到"))</f>
        <v/>
      </c>
      <c r="D343" s="48" t="str">
        <f>IF(B343="","",IFERROR(INDEX(SakesV5[酒款],MATCH(B343,SakesV5[酒款ID],0)),"酒款ID未找到"))</f>
        <v/>
      </c>
      <c r="E343" s="1"/>
      <c r="F343" s="1"/>
      <c r="G343" s="1"/>
      <c r="H343" s="3"/>
      <c r="I343" s="3"/>
      <c r="J343" s="23"/>
      <c r="K343" s="23"/>
      <c r="L343" s="4"/>
      <c r="M343" s="19"/>
      <c r="N343" s="1"/>
      <c r="O343" s="5"/>
      <c r="P343" s="4"/>
      <c r="Q343" s="1"/>
      <c r="R343" s="1"/>
      <c r="S343" s="3"/>
      <c r="T343" s="1"/>
      <c r="U343" s="1"/>
      <c r="V343" s="1"/>
      <c r="W343" s="1"/>
      <c r="X343" s="5"/>
      <c r="Y343" s="1"/>
      <c r="Z343" s="1"/>
      <c r="AA343" s="3"/>
    </row>
    <row r="344" spans="1:27" ht="24.95" customHeight="1">
      <c r="A344" s="1"/>
      <c r="B344" s="1"/>
      <c r="C344" s="48" t="str">
        <f>IF(B344="","",IFERROR(INDEX(SakesV5[銘柄],MATCH(B344,SakesV5[酒款ID],0)),"酒款ID未找到"))</f>
        <v/>
      </c>
      <c r="D344" s="48" t="str">
        <f>IF(B344="","",IFERROR(INDEX(SakesV5[酒款],MATCH(B344,SakesV5[酒款ID],0)),"酒款ID未找到"))</f>
        <v/>
      </c>
      <c r="E344" s="1"/>
      <c r="F344" s="1"/>
      <c r="G344" s="1"/>
      <c r="H344" s="3"/>
      <c r="I344" s="3"/>
      <c r="J344" s="23"/>
      <c r="K344" s="23"/>
      <c r="L344" s="4"/>
      <c r="M344" s="19"/>
      <c r="N344" s="1"/>
      <c r="O344" s="5"/>
      <c r="P344" s="4"/>
      <c r="Q344" s="1"/>
      <c r="R344" s="1"/>
      <c r="S344" s="3"/>
      <c r="T344" s="1"/>
      <c r="U344" s="1"/>
      <c r="V344" s="1"/>
      <c r="W344" s="1"/>
      <c r="X344" s="5"/>
      <c r="Y344" s="1"/>
      <c r="Z344" s="1"/>
      <c r="AA344" s="3"/>
    </row>
    <row r="345" spans="1:27" ht="24.95" customHeight="1">
      <c r="A345" s="1"/>
      <c r="B345" s="1"/>
      <c r="C345" s="48" t="str">
        <f>IF(B345="","",IFERROR(INDEX(SakesV5[銘柄],MATCH(B345,SakesV5[酒款ID],0)),"酒款ID未找到"))</f>
        <v/>
      </c>
      <c r="D345" s="48" t="str">
        <f>IF(B345="","",IFERROR(INDEX(SakesV5[酒款],MATCH(B345,SakesV5[酒款ID],0)),"酒款ID未找到"))</f>
        <v/>
      </c>
      <c r="E345" s="1"/>
      <c r="F345" s="1"/>
      <c r="G345" s="1"/>
      <c r="H345" s="3"/>
      <c r="I345" s="3"/>
      <c r="J345" s="23"/>
      <c r="K345" s="23"/>
      <c r="L345" s="4"/>
      <c r="M345" s="19"/>
      <c r="N345" s="1"/>
      <c r="O345" s="5"/>
      <c r="P345" s="4"/>
      <c r="Q345" s="1"/>
      <c r="R345" s="1"/>
      <c r="S345" s="3"/>
      <c r="T345" s="1"/>
      <c r="U345" s="1"/>
      <c r="V345" s="1"/>
      <c r="W345" s="1"/>
      <c r="X345" s="5"/>
      <c r="Y345" s="1"/>
      <c r="Z345" s="1"/>
      <c r="AA345" s="3"/>
    </row>
    <row r="346" spans="1:27" ht="24.95" customHeight="1">
      <c r="A346" s="1"/>
      <c r="B346" s="1"/>
      <c r="C346" s="48" t="str">
        <f>IF(B346="","",IFERROR(INDEX(SakesV5[銘柄],MATCH(B346,SakesV5[酒款ID],0)),"酒款ID未找到"))</f>
        <v/>
      </c>
      <c r="D346" s="48" t="str">
        <f>IF(B346="","",IFERROR(INDEX(SakesV5[酒款],MATCH(B346,SakesV5[酒款ID],0)),"酒款ID未找到"))</f>
        <v/>
      </c>
      <c r="E346" s="1"/>
      <c r="F346" s="1"/>
      <c r="G346" s="1"/>
      <c r="H346" s="3"/>
      <c r="I346" s="3"/>
      <c r="J346" s="23"/>
      <c r="K346" s="23"/>
      <c r="L346" s="4"/>
      <c r="M346" s="19"/>
      <c r="N346" s="1"/>
      <c r="O346" s="5"/>
      <c r="P346" s="4"/>
      <c r="Q346" s="1"/>
      <c r="R346" s="1"/>
      <c r="S346" s="3"/>
      <c r="T346" s="1"/>
      <c r="U346" s="1"/>
      <c r="V346" s="1"/>
      <c r="W346" s="1"/>
      <c r="X346" s="5"/>
      <c r="Y346" s="1"/>
      <c r="Z346" s="1"/>
      <c r="AA346" s="3"/>
    </row>
    <row r="347" spans="1:27" ht="24.95" customHeight="1">
      <c r="A347" s="1"/>
      <c r="B347" s="1"/>
      <c r="C347" s="48" t="str">
        <f>IF(B347="","",IFERROR(INDEX(SakesV5[銘柄],MATCH(B347,SakesV5[酒款ID],0)),"酒款ID未找到"))</f>
        <v/>
      </c>
      <c r="D347" s="48" t="str">
        <f>IF(B347="","",IFERROR(INDEX(SakesV5[酒款],MATCH(B347,SakesV5[酒款ID],0)),"酒款ID未找到"))</f>
        <v/>
      </c>
      <c r="E347" s="1"/>
      <c r="F347" s="1"/>
      <c r="G347" s="1"/>
      <c r="H347" s="3"/>
      <c r="I347" s="3"/>
      <c r="J347" s="23"/>
      <c r="K347" s="23"/>
      <c r="L347" s="4"/>
      <c r="M347" s="19"/>
      <c r="N347" s="1"/>
      <c r="O347" s="5"/>
      <c r="P347" s="4"/>
      <c r="Q347" s="1"/>
      <c r="R347" s="1"/>
      <c r="S347" s="3"/>
      <c r="T347" s="1"/>
      <c r="U347" s="1"/>
      <c r="V347" s="1"/>
      <c r="W347" s="1"/>
      <c r="X347" s="5"/>
      <c r="Y347" s="1"/>
      <c r="Z347" s="1"/>
      <c r="AA347" s="3"/>
    </row>
    <row r="348" spans="1:27" ht="24.95" customHeight="1">
      <c r="A348" s="1"/>
      <c r="B348" s="1"/>
      <c r="C348" s="48" t="str">
        <f>IF(B348="","",IFERROR(INDEX(SakesV5[銘柄],MATCH(B348,SakesV5[酒款ID],0)),"酒款ID未找到"))</f>
        <v/>
      </c>
      <c r="D348" s="48" t="str">
        <f>IF(B348="","",IFERROR(INDEX(SakesV5[酒款],MATCH(B348,SakesV5[酒款ID],0)),"酒款ID未找到"))</f>
        <v/>
      </c>
      <c r="E348" s="1"/>
      <c r="F348" s="1"/>
      <c r="G348" s="1"/>
      <c r="H348" s="3"/>
      <c r="I348" s="3"/>
      <c r="J348" s="23"/>
      <c r="K348" s="23"/>
      <c r="L348" s="4"/>
      <c r="M348" s="19"/>
      <c r="N348" s="1"/>
      <c r="O348" s="5"/>
      <c r="P348" s="4"/>
      <c r="Q348" s="1"/>
      <c r="R348" s="1"/>
      <c r="S348" s="3"/>
      <c r="T348" s="1"/>
      <c r="U348" s="1"/>
      <c r="V348" s="1"/>
      <c r="W348" s="1"/>
      <c r="X348" s="5"/>
      <c r="Y348" s="1"/>
      <c r="Z348" s="1"/>
      <c r="AA348" s="3"/>
    </row>
    <row r="349" spans="1:27" ht="24.95" customHeight="1">
      <c r="A349" s="1"/>
      <c r="B349" s="1"/>
      <c r="C349" s="48" t="str">
        <f>IF(B349="","",IFERROR(INDEX(SakesV5[銘柄],MATCH(B349,SakesV5[酒款ID],0)),"酒款ID未找到"))</f>
        <v/>
      </c>
      <c r="D349" s="48" t="str">
        <f>IF(B349="","",IFERROR(INDEX(SakesV5[酒款],MATCH(B349,SakesV5[酒款ID],0)),"酒款ID未找到"))</f>
        <v/>
      </c>
      <c r="E349" s="1"/>
      <c r="F349" s="1"/>
      <c r="G349" s="1"/>
      <c r="H349" s="3"/>
      <c r="I349" s="3"/>
      <c r="J349" s="23"/>
      <c r="K349" s="23"/>
      <c r="L349" s="4"/>
      <c r="M349" s="19"/>
      <c r="N349" s="1"/>
      <c r="O349" s="5"/>
      <c r="P349" s="4"/>
      <c r="Q349" s="1"/>
      <c r="R349" s="1"/>
      <c r="S349" s="3"/>
      <c r="T349" s="1"/>
      <c r="U349" s="1"/>
      <c r="V349" s="1"/>
      <c r="W349" s="1"/>
      <c r="X349" s="5"/>
      <c r="Y349" s="1"/>
      <c r="Z349" s="1"/>
      <c r="AA349" s="3"/>
    </row>
    <row r="350" spans="1:27" ht="24.95" customHeight="1">
      <c r="A350" s="1"/>
      <c r="B350" s="1"/>
      <c r="C350" s="48" t="str">
        <f>IF(B350="","",IFERROR(INDEX(SakesV5[銘柄],MATCH(B350,SakesV5[酒款ID],0)),"酒款ID未找到"))</f>
        <v/>
      </c>
      <c r="D350" s="48" t="str">
        <f>IF(B350="","",IFERROR(INDEX(SakesV5[酒款],MATCH(B350,SakesV5[酒款ID],0)),"酒款ID未找到"))</f>
        <v/>
      </c>
      <c r="E350" s="1"/>
      <c r="F350" s="1"/>
      <c r="G350" s="1"/>
      <c r="H350" s="3"/>
      <c r="I350" s="3"/>
      <c r="J350" s="23"/>
      <c r="K350" s="23"/>
      <c r="L350" s="4"/>
      <c r="M350" s="19"/>
      <c r="N350" s="1"/>
      <c r="O350" s="5"/>
      <c r="P350" s="4"/>
      <c r="Q350" s="1"/>
      <c r="R350" s="1"/>
      <c r="S350" s="3"/>
      <c r="T350" s="1"/>
      <c r="U350" s="1"/>
      <c r="V350" s="1"/>
      <c r="W350" s="1"/>
      <c r="X350" s="5"/>
      <c r="Y350" s="1"/>
      <c r="Z350" s="1"/>
      <c r="AA350" s="3"/>
    </row>
    <row r="351" spans="1:27" ht="24.95" customHeight="1">
      <c r="A351" s="1"/>
      <c r="B351" s="1"/>
      <c r="C351" s="48" t="str">
        <f>IF(B351="","",IFERROR(INDEX(SakesV5[銘柄],MATCH(B351,SakesV5[酒款ID],0)),"酒款ID未找到"))</f>
        <v/>
      </c>
      <c r="D351" s="48" t="str">
        <f>IF(B351="","",IFERROR(INDEX(SakesV5[酒款],MATCH(B351,SakesV5[酒款ID],0)),"酒款ID未找到"))</f>
        <v/>
      </c>
      <c r="E351" s="1"/>
      <c r="F351" s="1"/>
      <c r="G351" s="1"/>
      <c r="H351" s="3"/>
      <c r="I351" s="3"/>
      <c r="J351" s="23"/>
      <c r="K351" s="23"/>
      <c r="L351" s="4"/>
      <c r="M351" s="19"/>
      <c r="N351" s="1"/>
      <c r="O351" s="5"/>
      <c r="P351" s="4"/>
      <c r="Q351" s="1"/>
      <c r="R351" s="1"/>
      <c r="S351" s="3"/>
      <c r="T351" s="1"/>
      <c r="U351" s="1"/>
      <c r="V351" s="1"/>
      <c r="W351" s="1"/>
      <c r="X351" s="5"/>
      <c r="Y351" s="1"/>
      <c r="Z351" s="1"/>
      <c r="AA351" s="3"/>
    </row>
    <row r="352" spans="1:27" ht="24.95" customHeight="1">
      <c r="A352" s="1"/>
      <c r="B352" s="1"/>
      <c r="C352" s="48" t="str">
        <f>IF(B352="","",IFERROR(INDEX(SakesV5[銘柄],MATCH(B352,SakesV5[酒款ID],0)),"酒款ID未找到"))</f>
        <v/>
      </c>
      <c r="D352" s="48" t="str">
        <f>IF(B352="","",IFERROR(INDEX(SakesV5[酒款],MATCH(B352,SakesV5[酒款ID],0)),"酒款ID未找到"))</f>
        <v/>
      </c>
      <c r="E352" s="1"/>
      <c r="F352" s="1"/>
      <c r="G352" s="1"/>
      <c r="H352" s="3"/>
      <c r="I352" s="3"/>
      <c r="J352" s="23"/>
      <c r="K352" s="23"/>
      <c r="L352" s="4"/>
      <c r="M352" s="19"/>
      <c r="N352" s="1"/>
      <c r="O352" s="5"/>
      <c r="P352" s="4"/>
      <c r="Q352" s="1"/>
      <c r="R352" s="1"/>
      <c r="S352" s="3"/>
      <c r="T352" s="1"/>
      <c r="U352" s="1"/>
      <c r="V352" s="1"/>
      <c r="W352" s="1"/>
      <c r="X352" s="5"/>
      <c r="Y352" s="1"/>
      <c r="Z352" s="1"/>
      <c r="AA352" s="3"/>
    </row>
    <row r="353" spans="1:27" ht="24.95" customHeight="1">
      <c r="A353" s="1"/>
      <c r="B353" s="1"/>
      <c r="C353" s="48" t="str">
        <f>IF(B353="","",IFERROR(INDEX(SakesV5[銘柄],MATCH(B353,SakesV5[酒款ID],0)),"酒款ID未找到"))</f>
        <v/>
      </c>
      <c r="D353" s="48" t="str">
        <f>IF(B353="","",IFERROR(INDEX(SakesV5[酒款],MATCH(B353,SakesV5[酒款ID],0)),"酒款ID未找到"))</f>
        <v/>
      </c>
      <c r="E353" s="1"/>
      <c r="F353" s="1"/>
      <c r="G353" s="1"/>
      <c r="H353" s="3"/>
      <c r="I353" s="3"/>
      <c r="J353" s="23"/>
      <c r="K353" s="23"/>
      <c r="L353" s="4"/>
      <c r="M353" s="19"/>
      <c r="N353" s="1"/>
      <c r="O353" s="5"/>
      <c r="P353" s="4"/>
      <c r="Q353" s="1"/>
      <c r="R353" s="1"/>
      <c r="S353" s="3"/>
      <c r="T353" s="1"/>
      <c r="U353" s="1"/>
      <c r="V353" s="1"/>
      <c r="W353" s="1"/>
      <c r="X353" s="5"/>
      <c r="Y353" s="1"/>
      <c r="Z353" s="1"/>
      <c r="AA353" s="3"/>
    </row>
    <row r="354" spans="1:27" ht="24.95" customHeight="1">
      <c r="A354" s="1"/>
      <c r="B354" s="1"/>
      <c r="C354" s="48" t="str">
        <f>IF(B354="","",IFERROR(INDEX(SakesV5[銘柄],MATCH(B354,SakesV5[酒款ID],0)),"酒款ID未找到"))</f>
        <v/>
      </c>
      <c r="D354" s="48" t="str">
        <f>IF(B354="","",IFERROR(INDEX(SakesV5[酒款],MATCH(B354,SakesV5[酒款ID],0)),"酒款ID未找到"))</f>
        <v/>
      </c>
      <c r="E354" s="1"/>
      <c r="F354" s="1"/>
      <c r="G354" s="1"/>
      <c r="H354" s="3"/>
      <c r="I354" s="3"/>
      <c r="J354" s="23"/>
      <c r="K354" s="23"/>
      <c r="L354" s="4"/>
      <c r="M354" s="19"/>
      <c r="N354" s="1"/>
      <c r="O354" s="5"/>
      <c r="P354" s="4"/>
      <c r="Q354" s="1"/>
      <c r="R354" s="1"/>
      <c r="S354" s="3"/>
      <c r="T354" s="1"/>
      <c r="U354" s="1"/>
      <c r="V354" s="1"/>
      <c r="W354" s="1"/>
      <c r="X354" s="5"/>
      <c r="Y354" s="1"/>
      <c r="Z354" s="1"/>
      <c r="AA354" s="3"/>
    </row>
    <row r="355" spans="1:27" ht="24.95" customHeight="1">
      <c r="A355" s="1"/>
      <c r="B355" s="1"/>
      <c r="C355" s="48" t="str">
        <f>IF(B355="","",IFERROR(INDEX(SakesV5[銘柄],MATCH(B355,SakesV5[酒款ID],0)),"酒款ID未找到"))</f>
        <v/>
      </c>
      <c r="D355" s="48" t="str">
        <f>IF(B355="","",IFERROR(INDEX(SakesV5[酒款],MATCH(B355,SakesV5[酒款ID],0)),"酒款ID未找到"))</f>
        <v/>
      </c>
      <c r="E355" s="1"/>
      <c r="F355" s="1"/>
      <c r="G355" s="1"/>
      <c r="H355" s="3"/>
      <c r="I355" s="3"/>
      <c r="J355" s="23"/>
      <c r="K355" s="23"/>
      <c r="L355" s="4"/>
      <c r="M355" s="19"/>
      <c r="N355" s="1"/>
      <c r="O355" s="5"/>
      <c r="P355" s="4"/>
      <c r="Q355" s="1"/>
      <c r="R355" s="1"/>
      <c r="S355" s="3"/>
      <c r="T355" s="1"/>
      <c r="U355" s="1"/>
      <c r="V355" s="1"/>
      <c r="W355" s="1"/>
      <c r="X355" s="5"/>
      <c r="Y355" s="1"/>
      <c r="Z355" s="1"/>
      <c r="AA355" s="3"/>
    </row>
    <row r="356" spans="1:27" ht="24.95" customHeight="1">
      <c r="A356" s="1"/>
      <c r="B356" s="1"/>
      <c r="C356" s="48" t="str">
        <f>IF(B356="","",IFERROR(INDEX(SakesV5[銘柄],MATCH(B356,SakesV5[酒款ID],0)),"酒款ID未找到"))</f>
        <v/>
      </c>
      <c r="D356" s="48" t="str">
        <f>IF(B356="","",IFERROR(INDEX(SakesV5[酒款],MATCH(B356,SakesV5[酒款ID],0)),"酒款ID未找到"))</f>
        <v/>
      </c>
      <c r="E356" s="1"/>
      <c r="F356" s="1"/>
      <c r="G356" s="1"/>
      <c r="H356" s="3"/>
      <c r="I356" s="3"/>
      <c r="J356" s="23"/>
      <c r="K356" s="23"/>
      <c r="L356" s="4"/>
      <c r="M356" s="19"/>
      <c r="N356" s="1"/>
      <c r="O356" s="5"/>
      <c r="P356" s="4"/>
      <c r="Q356" s="1"/>
      <c r="R356" s="1"/>
      <c r="S356" s="3"/>
      <c r="T356" s="1"/>
      <c r="U356" s="1"/>
      <c r="V356" s="1"/>
      <c r="W356" s="1"/>
      <c r="X356" s="5"/>
      <c r="Y356" s="1"/>
      <c r="Z356" s="1"/>
      <c r="AA356" s="3"/>
    </row>
    <row r="357" spans="1:27" ht="24.95" customHeight="1">
      <c r="A357" s="1"/>
      <c r="B357" s="1"/>
      <c r="C357" s="48" t="str">
        <f>IF(B357="","",IFERROR(INDEX(SakesV5[銘柄],MATCH(B357,SakesV5[酒款ID],0)),"酒款ID未找到"))</f>
        <v/>
      </c>
      <c r="D357" s="48" t="str">
        <f>IF(B357="","",IFERROR(INDEX(SakesV5[酒款],MATCH(B357,SakesV5[酒款ID],0)),"酒款ID未找到"))</f>
        <v/>
      </c>
      <c r="E357" s="1"/>
      <c r="F357" s="1"/>
      <c r="G357" s="1"/>
      <c r="H357" s="3"/>
      <c r="I357" s="3"/>
      <c r="J357" s="23"/>
      <c r="K357" s="23"/>
      <c r="L357" s="4"/>
      <c r="M357" s="19"/>
      <c r="N357" s="1"/>
      <c r="O357" s="5"/>
      <c r="P357" s="4"/>
      <c r="Q357" s="1"/>
      <c r="R357" s="1"/>
      <c r="S357" s="3"/>
      <c r="T357" s="1"/>
      <c r="U357" s="1"/>
      <c r="V357" s="1"/>
      <c r="W357" s="1"/>
      <c r="X357" s="5"/>
      <c r="Y357" s="1"/>
      <c r="Z357" s="1"/>
      <c r="AA357" s="3"/>
    </row>
    <row r="358" spans="1:27" ht="24.95" customHeight="1">
      <c r="A358" s="1"/>
      <c r="B358" s="1"/>
      <c r="C358" s="48" t="str">
        <f>IF(B358="","",IFERROR(INDEX(SakesV5[銘柄],MATCH(B358,SakesV5[酒款ID],0)),"酒款ID未找到"))</f>
        <v/>
      </c>
      <c r="D358" s="48" t="str">
        <f>IF(B358="","",IFERROR(INDEX(SakesV5[酒款],MATCH(B358,SakesV5[酒款ID],0)),"酒款ID未找到"))</f>
        <v/>
      </c>
      <c r="E358" s="1"/>
      <c r="F358" s="1"/>
      <c r="G358" s="1"/>
      <c r="H358" s="3"/>
      <c r="I358" s="3"/>
      <c r="J358" s="23"/>
      <c r="K358" s="23"/>
      <c r="L358" s="4"/>
      <c r="M358" s="19"/>
      <c r="N358" s="1"/>
      <c r="O358" s="5"/>
      <c r="P358" s="4"/>
      <c r="Q358" s="1"/>
      <c r="R358" s="1"/>
      <c r="S358" s="3"/>
      <c r="T358" s="1"/>
      <c r="U358" s="1"/>
      <c r="V358" s="1"/>
      <c r="W358" s="1"/>
      <c r="X358" s="5"/>
      <c r="Y358" s="1"/>
      <c r="Z358" s="1"/>
      <c r="AA358" s="3"/>
    </row>
    <row r="359" spans="1:27" ht="24.95" customHeight="1">
      <c r="A359" s="1"/>
      <c r="B359" s="1"/>
      <c r="C359" s="48" t="str">
        <f>IF(B359="","",IFERROR(INDEX(SakesV5[銘柄],MATCH(B359,SakesV5[酒款ID],0)),"酒款ID未找到"))</f>
        <v/>
      </c>
      <c r="D359" s="48" t="str">
        <f>IF(B359="","",IFERROR(INDEX(SakesV5[酒款],MATCH(B359,SakesV5[酒款ID],0)),"酒款ID未找到"))</f>
        <v/>
      </c>
      <c r="E359" s="1"/>
      <c r="F359" s="1"/>
      <c r="G359" s="1"/>
      <c r="H359" s="3"/>
      <c r="I359" s="3"/>
      <c r="J359" s="23"/>
      <c r="K359" s="23"/>
      <c r="L359" s="4"/>
      <c r="M359" s="19"/>
      <c r="N359" s="1"/>
      <c r="O359" s="5"/>
      <c r="P359" s="4"/>
      <c r="Q359" s="1"/>
      <c r="R359" s="1"/>
      <c r="S359" s="3"/>
      <c r="T359" s="1"/>
      <c r="U359" s="1"/>
      <c r="V359" s="1"/>
      <c r="W359" s="1"/>
      <c r="X359" s="5"/>
      <c r="Y359" s="1"/>
      <c r="Z359" s="1"/>
      <c r="AA359" s="3"/>
    </row>
    <row r="360" spans="1:27" ht="24.95" customHeight="1">
      <c r="A360" s="1"/>
      <c r="B360" s="1"/>
      <c r="C360" s="48" t="str">
        <f>IF(B360="","",IFERROR(INDEX(SakesV5[銘柄],MATCH(B360,SakesV5[酒款ID],0)),"酒款ID未找到"))</f>
        <v/>
      </c>
      <c r="D360" s="48" t="str">
        <f>IF(B360="","",IFERROR(INDEX(SakesV5[酒款],MATCH(B360,SakesV5[酒款ID],0)),"酒款ID未找到"))</f>
        <v/>
      </c>
      <c r="E360" s="1"/>
      <c r="F360" s="1"/>
      <c r="G360" s="1"/>
      <c r="H360" s="3"/>
      <c r="I360" s="3"/>
      <c r="J360" s="23"/>
      <c r="K360" s="23"/>
      <c r="L360" s="4"/>
      <c r="M360" s="19"/>
      <c r="N360" s="1"/>
      <c r="O360" s="5"/>
      <c r="P360" s="4"/>
      <c r="Q360" s="1"/>
      <c r="R360" s="1"/>
      <c r="S360" s="3"/>
      <c r="T360" s="1"/>
      <c r="U360" s="1"/>
      <c r="V360" s="1"/>
      <c r="W360" s="1"/>
      <c r="X360" s="5"/>
      <c r="Y360" s="1"/>
      <c r="Z360" s="1"/>
      <c r="AA360" s="3"/>
    </row>
    <row r="361" spans="1:27" ht="24.95" customHeight="1">
      <c r="A361" s="1"/>
      <c r="B361" s="1"/>
      <c r="C361" s="48" t="str">
        <f>IF(B361="","",IFERROR(INDEX(SakesV5[銘柄],MATCH(B361,SakesV5[酒款ID],0)),"酒款ID未找到"))</f>
        <v/>
      </c>
      <c r="D361" s="48" t="str">
        <f>IF(B361="","",IFERROR(INDEX(SakesV5[酒款],MATCH(B361,SakesV5[酒款ID],0)),"酒款ID未找到"))</f>
        <v/>
      </c>
      <c r="E361" s="1"/>
      <c r="F361" s="1"/>
      <c r="G361" s="1"/>
      <c r="H361" s="3"/>
      <c r="I361" s="3"/>
      <c r="J361" s="23"/>
      <c r="K361" s="23"/>
      <c r="L361" s="4"/>
      <c r="M361" s="19"/>
      <c r="N361" s="1"/>
      <c r="O361" s="5"/>
      <c r="P361" s="4"/>
      <c r="Q361" s="1"/>
      <c r="R361" s="1"/>
      <c r="S361" s="3"/>
      <c r="T361" s="1"/>
      <c r="U361" s="1"/>
      <c r="V361" s="1"/>
      <c r="W361" s="1"/>
      <c r="X361" s="5"/>
      <c r="Y361" s="1"/>
      <c r="Z361" s="1"/>
      <c r="AA361" s="3"/>
    </row>
    <row r="362" spans="1:27" ht="24.95" customHeight="1">
      <c r="A362" s="1"/>
      <c r="B362" s="1"/>
      <c r="C362" s="48" t="str">
        <f>IF(B362="","",IFERROR(INDEX(SakesV5[銘柄],MATCH(B362,SakesV5[酒款ID],0)),"酒款ID未找到"))</f>
        <v/>
      </c>
      <c r="D362" s="48" t="str">
        <f>IF(B362="","",IFERROR(INDEX(SakesV5[酒款],MATCH(B362,SakesV5[酒款ID],0)),"酒款ID未找到"))</f>
        <v/>
      </c>
      <c r="E362" s="1"/>
      <c r="F362" s="1"/>
      <c r="G362" s="1"/>
      <c r="H362" s="3"/>
      <c r="I362" s="3"/>
      <c r="J362" s="23"/>
      <c r="K362" s="23"/>
      <c r="L362" s="4"/>
      <c r="M362" s="19"/>
      <c r="N362" s="1"/>
      <c r="O362" s="5"/>
      <c r="P362" s="4"/>
      <c r="Q362" s="1"/>
      <c r="R362" s="1"/>
      <c r="S362" s="3"/>
      <c r="T362" s="1"/>
      <c r="U362" s="1"/>
      <c r="V362" s="1"/>
      <c r="W362" s="1"/>
      <c r="X362" s="5"/>
      <c r="Y362" s="1"/>
      <c r="Z362" s="1"/>
      <c r="AA362" s="3"/>
    </row>
    <row r="363" spans="1:27" ht="24.95" customHeight="1">
      <c r="A363" s="1"/>
      <c r="B363" s="1"/>
      <c r="C363" s="48" t="str">
        <f>IF(B363="","",IFERROR(INDEX(SakesV5[銘柄],MATCH(B363,SakesV5[酒款ID],0)),"酒款ID未找到"))</f>
        <v/>
      </c>
      <c r="D363" s="48" t="str">
        <f>IF(B363="","",IFERROR(INDEX(SakesV5[酒款],MATCH(B363,SakesV5[酒款ID],0)),"酒款ID未找到"))</f>
        <v/>
      </c>
      <c r="E363" s="1"/>
      <c r="F363" s="1"/>
      <c r="G363" s="1"/>
      <c r="H363" s="3"/>
      <c r="I363" s="3"/>
      <c r="J363" s="23"/>
      <c r="K363" s="23"/>
      <c r="L363" s="4"/>
      <c r="M363" s="19"/>
      <c r="N363" s="1"/>
      <c r="O363" s="5"/>
      <c r="P363" s="4"/>
      <c r="Q363" s="1"/>
      <c r="R363" s="1"/>
      <c r="S363" s="3"/>
      <c r="T363" s="1"/>
      <c r="U363" s="1"/>
      <c r="V363" s="1"/>
      <c r="W363" s="1"/>
      <c r="X363" s="5"/>
      <c r="Y363" s="1"/>
      <c r="Z363" s="1"/>
      <c r="AA363" s="3"/>
    </row>
    <row r="364" spans="1:27" ht="24.95" customHeight="1">
      <c r="A364" s="1"/>
      <c r="B364" s="1"/>
      <c r="C364" s="48" t="str">
        <f>IF(B364="","",IFERROR(INDEX(SakesV5[銘柄],MATCH(B364,SakesV5[酒款ID],0)),"酒款ID未找到"))</f>
        <v/>
      </c>
      <c r="D364" s="48" t="str">
        <f>IF(B364="","",IFERROR(INDEX(SakesV5[酒款],MATCH(B364,SakesV5[酒款ID],0)),"酒款ID未找到"))</f>
        <v/>
      </c>
      <c r="E364" s="1"/>
      <c r="F364" s="1"/>
      <c r="G364" s="1"/>
      <c r="H364" s="3"/>
      <c r="I364" s="3"/>
      <c r="J364" s="23"/>
      <c r="K364" s="23"/>
      <c r="L364" s="4"/>
      <c r="M364" s="19"/>
      <c r="N364" s="1"/>
      <c r="O364" s="5"/>
      <c r="P364" s="4"/>
      <c r="Q364" s="1"/>
      <c r="R364" s="1"/>
      <c r="S364" s="3"/>
      <c r="T364" s="1"/>
      <c r="U364" s="1"/>
      <c r="V364" s="1"/>
      <c r="W364" s="1"/>
      <c r="X364" s="5"/>
      <c r="Y364" s="1"/>
      <c r="Z364" s="1"/>
      <c r="AA364" s="3"/>
    </row>
    <row r="365" spans="1:27" ht="24.95" customHeight="1">
      <c r="A365" s="1"/>
      <c r="B365" s="1"/>
      <c r="C365" s="48" t="str">
        <f>IF(B365="","",IFERROR(INDEX(SakesV5[銘柄],MATCH(B365,SakesV5[酒款ID],0)),"酒款ID未找到"))</f>
        <v/>
      </c>
      <c r="D365" s="48" t="str">
        <f>IF(B365="","",IFERROR(INDEX(SakesV5[酒款],MATCH(B365,SakesV5[酒款ID],0)),"酒款ID未找到"))</f>
        <v/>
      </c>
      <c r="E365" s="1"/>
      <c r="F365" s="1"/>
      <c r="G365" s="1"/>
      <c r="H365" s="3"/>
      <c r="I365" s="3"/>
      <c r="J365" s="23"/>
      <c r="K365" s="23"/>
      <c r="L365" s="4"/>
      <c r="M365" s="19"/>
      <c r="N365" s="1"/>
      <c r="O365" s="5"/>
      <c r="P365" s="4"/>
      <c r="Q365" s="1"/>
      <c r="R365" s="1"/>
      <c r="S365" s="3"/>
      <c r="T365" s="1"/>
      <c r="U365" s="1"/>
      <c r="V365" s="1"/>
      <c r="W365" s="1"/>
      <c r="X365" s="5"/>
      <c r="Y365" s="1"/>
      <c r="Z365" s="1"/>
      <c r="AA365" s="3"/>
    </row>
    <row r="366" spans="1:27" ht="24.95" customHeight="1">
      <c r="A366" s="1"/>
      <c r="B366" s="1"/>
      <c r="C366" s="48" t="str">
        <f>IF(B366="","",IFERROR(INDEX(SakesV5[銘柄],MATCH(B366,SakesV5[酒款ID],0)),"酒款ID未找到"))</f>
        <v/>
      </c>
      <c r="D366" s="48" t="str">
        <f>IF(B366="","",IFERROR(INDEX(SakesV5[酒款],MATCH(B366,SakesV5[酒款ID],0)),"酒款ID未找到"))</f>
        <v/>
      </c>
      <c r="E366" s="1"/>
      <c r="F366" s="1"/>
      <c r="G366" s="1"/>
      <c r="H366" s="3"/>
      <c r="I366" s="3"/>
      <c r="J366" s="23"/>
      <c r="K366" s="23"/>
      <c r="L366" s="4"/>
      <c r="M366" s="19"/>
      <c r="N366" s="1"/>
      <c r="O366" s="5"/>
      <c r="P366" s="4"/>
      <c r="Q366" s="1"/>
      <c r="R366" s="1"/>
      <c r="S366" s="3"/>
      <c r="T366" s="1"/>
      <c r="U366" s="1"/>
      <c r="V366" s="1"/>
      <c r="W366" s="1"/>
      <c r="X366" s="5"/>
      <c r="Y366" s="1"/>
      <c r="Z366" s="1"/>
      <c r="AA366" s="3"/>
    </row>
    <row r="367" spans="1:27" ht="24.95" customHeight="1">
      <c r="A367" s="1"/>
      <c r="B367" s="1"/>
      <c r="C367" s="48" t="str">
        <f>IF(B367="","",IFERROR(INDEX(SakesV5[銘柄],MATCH(B367,SakesV5[酒款ID],0)),"酒款ID未找到"))</f>
        <v/>
      </c>
      <c r="D367" s="48" t="str">
        <f>IF(B367="","",IFERROR(INDEX(SakesV5[酒款],MATCH(B367,SakesV5[酒款ID],0)),"酒款ID未找到"))</f>
        <v/>
      </c>
      <c r="E367" s="1"/>
      <c r="F367" s="1"/>
      <c r="G367" s="1"/>
      <c r="H367" s="3"/>
      <c r="I367" s="3"/>
      <c r="J367" s="23"/>
      <c r="K367" s="23"/>
      <c r="L367" s="4"/>
      <c r="M367" s="19"/>
      <c r="N367" s="1"/>
      <c r="O367" s="5"/>
      <c r="P367" s="4"/>
      <c r="Q367" s="1"/>
      <c r="R367" s="1"/>
      <c r="S367" s="3"/>
      <c r="T367" s="1"/>
      <c r="U367" s="1"/>
      <c r="V367" s="1"/>
      <c r="W367" s="1"/>
      <c r="X367" s="5"/>
      <c r="Y367" s="1"/>
      <c r="Z367" s="1"/>
      <c r="AA367" s="3"/>
    </row>
    <row r="368" spans="1:27" ht="24.95" customHeight="1">
      <c r="A368" s="1"/>
      <c r="B368" s="1"/>
      <c r="C368" s="48" t="str">
        <f>IF(B368="","",IFERROR(INDEX(SakesV5[銘柄],MATCH(B368,SakesV5[酒款ID],0)),"酒款ID未找到"))</f>
        <v/>
      </c>
      <c r="D368" s="48" t="str">
        <f>IF(B368="","",IFERROR(INDEX(SakesV5[酒款],MATCH(B368,SakesV5[酒款ID],0)),"酒款ID未找到"))</f>
        <v/>
      </c>
      <c r="E368" s="1"/>
      <c r="F368" s="1"/>
      <c r="G368" s="1"/>
      <c r="H368" s="3"/>
      <c r="I368" s="3"/>
      <c r="J368" s="23"/>
      <c r="K368" s="23"/>
      <c r="L368" s="4"/>
      <c r="M368" s="19"/>
      <c r="N368" s="1"/>
      <c r="O368" s="5"/>
      <c r="P368" s="4"/>
      <c r="Q368" s="1"/>
      <c r="R368" s="1"/>
      <c r="S368" s="3"/>
      <c r="T368" s="1"/>
      <c r="U368" s="1"/>
      <c r="V368" s="1"/>
      <c r="W368" s="1"/>
      <c r="X368" s="5"/>
      <c r="Y368" s="1"/>
      <c r="Z368" s="1"/>
      <c r="AA368" s="3"/>
    </row>
    <row r="369" spans="1:27" ht="24.95" customHeight="1">
      <c r="A369" s="1"/>
      <c r="B369" s="1"/>
      <c r="C369" s="48" t="str">
        <f>IF(B369="","",IFERROR(INDEX(SakesV5[銘柄],MATCH(B369,SakesV5[酒款ID],0)),"酒款ID未找到"))</f>
        <v/>
      </c>
      <c r="D369" s="48" t="str">
        <f>IF(B369="","",IFERROR(INDEX(SakesV5[酒款],MATCH(B369,SakesV5[酒款ID],0)),"酒款ID未找到"))</f>
        <v/>
      </c>
      <c r="E369" s="1"/>
      <c r="F369" s="1"/>
      <c r="G369" s="1"/>
      <c r="H369" s="3"/>
      <c r="I369" s="3"/>
      <c r="J369" s="23"/>
      <c r="K369" s="23"/>
      <c r="L369" s="4"/>
      <c r="M369" s="19"/>
      <c r="N369" s="1"/>
      <c r="O369" s="5"/>
      <c r="P369" s="4"/>
      <c r="Q369" s="1"/>
      <c r="R369" s="1"/>
      <c r="S369" s="3"/>
      <c r="T369" s="1"/>
      <c r="U369" s="1"/>
      <c r="V369" s="1"/>
      <c r="W369" s="1"/>
      <c r="X369" s="5"/>
      <c r="Y369" s="1"/>
      <c r="Z369" s="1"/>
      <c r="AA369" s="3"/>
    </row>
    <row r="370" spans="1:27" ht="24.95" customHeight="1">
      <c r="A370" s="1"/>
      <c r="B370" s="1"/>
      <c r="C370" s="48" t="str">
        <f>IF(B370="","",IFERROR(INDEX(SakesV5[銘柄],MATCH(B370,SakesV5[酒款ID],0)),"酒款ID未找到"))</f>
        <v/>
      </c>
      <c r="D370" s="48" t="str">
        <f>IF(B370="","",IFERROR(INDEX(SakesV5[酒款],MATCH(B370,SakesV5[酒款ID],0)),"酒款ID未找到"))</f>
        <v/>
      </c>
      <c r="E370" s="1"/>
      <c r="F370" s="1"/>
      <c r="G370" s="1"/>
      <c r="H370" s="3"/>
      <c r="I370" s="3"/>
      <c r="J370" s="23"/>
      <c r="K370" s="23"/>
      <c r="L370" s="4"/>
      <c r="M370" s="19"/>
      <c r="N370" s="1"/>
      <c r="O370" s="5"/>
      <c r="P370" s="4"/>
      <c r="Q370" s="1"/>
      <c r="R370" s="1"/>
      <c r="S370" s="3"/>
      <c r="T370" s="1"/>
      <c r="U370" s="1"/>
      <c r="V370" s="1"/>
      <c r="W370" s="1"/>
      <c r="X370" s="5"/>
      <c r="Y370" s="1"/>
      <c r="Z370" s="1"/>
      <c r="AA370" s="3"/>
    </row>
    <row r="371" spans="1:27" ht="24.95" customHeight="1">
      <c r="A371" s="1"/>
      <c r="B371" s="1"/>
      <c r="C371" s="48" t="str">
        <f>IF(B371="","",IFERROR(INDEX(SakesV5[銘柄],MATCH(B371,SakesV5[酒款ID],0)),"酒款ID未找到"))</f>
        <v/>
      </c>
      <c r="D371" s="48" t="str">
        <f>IF(B371="","",IFERROR(INDEX(SakesV5[酒款],MATCH(B371,SakesV5[酒款ID],0)),"酒款ID未找到"))</f>
        <v/>
      </c>
      <c r="E371" s="1"/>
      <c r="F371" s="1"/>
      <c r="G371" s="1"/>
      <c r="H371" s="3"/>
      <c r="I371" s="3"/>
      <c r="J371" s="23"/>
      <c r="K371" s="23"/>
      <c r="L371" s="4"/>
      <c r="M371" s="19"/>
      <c r="N371" s="1"/>
      <c r="O371" s="5"/>
      <c r="P371" s="4"/>
      <c r="Q371" s="1"/>
      <c r="R371" s="1"/>
      <c r="S371" s="3"/>
      <c r="T371" s="1"/>
      <c r="U371" s="1"/>
      <c r="V371" s="1"/>
      <c r="W371" s="1"/>
      <c r="X371" s="5"/>
      <c r="Y371" s="1"/>
      <c r="Z371" s="1"/>
      <c r="AA371" s="3"/>
    </row>
    <row r="372" spans="1:27" ht="24.95" customHeight="1">
      <c r="A372" s="1"/>
      <c r="B372" s="1"/>
      <c r="C372" s="48" t="str">
        <f>IF(B372="","",IFERROR(INDEX(SakesV5[銘柄],MATCH(B372,SakesV5[酒款ID],0)),"酒款ID未找到"))</f>
        <v/>
      </c>
      <c r="D372" s="48" t="str">
        <f>IF(B372="","",IFERROR(INDEX(SakesV5[酒款],MATCH(B372,SakesV5[酒款ID],0)),"酒款ID未找到"))</f>
        <v/>
      </c>
      <c r="E372" s="1"/>
      <c r="F372" s="1"/>
      <c r="G372" s="1"/>
      <c r="H372" s="3"/>
      <c r="I372" s="3"/>
      <c r="J372" s="23"/>
      <c r="K372" s="23"/>
      <c r="L372" s="4"/>
      <c r="M372" s="19"/>
      <c r="N372" s="1"/>
      <c r="O372" s="5"/>
      <c r="P372" s="4"/>
      <c r="Q372" s="1"/>
      <c r="R372" s="1"/>
      <c r="S372" s="3"/>
      <c r="T372" s="1"/>
      <c r="U372" s="1"/>
      <c r="V372" s="1"/>
      <c r="W372" s="1"/>
      <c r="X372" s="5"/>
      <c r="Y372" s="1"/>
      <c r="Z372" s="1"/>
      <c r="AA372" s="3"/>
    </row>
    <row r="373" spans="1:27" ht="24.95" customHeight="1">
      <c r="A373" s="1"/>
      <c r="B373" s="1"/>
      <c r="C373" s="48" t="str">
        <f>IF(B373="","",IFERROR(INDEX(SakesV5[銘柄],MATCH(B373,SakesV5[酒款ID],0)),"酒款ID未找到"))</f>
        <v/>
      </c>
      <c r="D373" s="48" t="str">
        <f>IF(B373="","",IFERROR(INDEX(SakesV5[酒款],MATCH(B373,SakesV5[酒款ID],0)),"酒款ID未找到"))</f>
        <v/>
      </c>
      <c r="E373" s="1"/>
      <c r="F373" s="1"/>
      <c r="G373" s="1"/>
      <c r="H373" s="3"/>
      <c r="I373" s="3"/>
      <c r="J373" s="23"/>
      <c r="K373" s="23"/>
      <c r="L373" s="4"/>
      <c r="M373" s="19"/>
      <c r="N373" s="1"/>
      <c r="O373" s="5"/>
      <c r="P373" s="4"/>
      <c r="Q373" s="1"/>
      <c r="R373" s="1"/>
      <c r="S373" s="3"/>
      <c r="T373" s="1"/>
      <c r="U373" s="1"/>
      <c r="V373" s="1"/>
      <c r="W373" s="1"/>
      <c r="X373" s="5"/>
      <c r="Y373" s="1"/>
      <c r="Z373" s="1"/>
      <c r="AA373" s="3"/>
    </row>
    <row r="374" spans="1:27" ht="24.95" customHeight="1">
      <c r="A374" s="1"/>
      <c r="B374" s="1"/>
      <c r="C374" s="48" t="str">
        <f>IF(B374="","",IFERROR(INDEX(SakesV5[銘柄],MATCH(B374,SakesV5[酒款ID],0)),"酒款ID未找到"))</f>
        <v/>
      </c>
      <c r="D374" s="48" t="str">
        <f>IF(B374="","",IFERROR(INDEX(SakesV5[酒款],MATCH(B374,SakesV5[酒款ID],0)),"酒款ID未找到"))</f>
        <v/>
      </c>
      <c r="E374" s="1"/>
      <c r="F374" s="1"/>
      <c r="G374" s="1"/>
      <c r="H374" s="3"/>
      <c r="I374" s="3"/>
      <c r="J374" s="23"/>
      <c r="K374" s="23"/>
      <c r="L374" s="4"/>
      <c r="M374" s="19"/>
      <c r="N374" s="1"/>
      <c r="O374" s="5"/>
      <c r="P374" s="4"/>
      <c r="Q374" s="1"/>
      <c r="R374" s="1"/>
      <c r="S374" s="3"/>
      <c r="T374" s="1"/>
      <c r="U374" s="1"/>
      <c r="V374" s="1"/>
      <c r="W374" s="1"/>
      <c r="X374" s="5"/>
      <c r="Y374" s="1"/>
      <c r="Z374" s="1"/>
      <c r="AA374" s="3"/>
    </row>
    <row r="375" spans="1:27" ht="24.95" customHeight="1">
      <c r="A375" s="1"/>
      <c r="B375" s="1"/>
      <c r="C375" s="48" t="str">
        <f>IF(B375="","",IFERROR(INDEX(SakesV5[銘柄],MATCH(B375,SakesV5[酒款ID],0)),"酒款ID未找到"))</f>
        <v/>
      </c>
      <c r="D375" s="48" t="str">
        <f>IF(B375="","",IFERROR(INDEX(SakesV5[酒款],MATCH(B375,SakesV5[酒款ID],0)),"酒款ID未找到"))</f>
        <v/>
      </c>
      <c r="E375" s="1"/>
      <c r="F375" s="1"/>
      <c r="G375" s="1"/>
      <c r="H375" s="3"/>
      <c r="I375" s="3"/>
      <c r="J375" s="23"/>
      <c r="K375" s="23"/>
      <c r="L375" s="4"/>
      <c r="M375" s="19"/>
      <c r="N375" s="1"/>
      <c r="O375" s="5"/>
      <c r="P375" s="4"/>
      <c r="Q375" s="1"/>
      <c r="R375" s="1"/>
      <c r="S375" s="3"/>
      <c r="T375" s="1"/>
      <c r="U375" s="1"/>
      <c r="V375" s="1"/>
      <c r="W375" s="1"/>
      <c r="X375" s="5"/>
      <c r="Y375" s="1"/>
      <c r="Z375" s="1"/>
      <c r="AA375" s="3"/>
    </row>
    <row r="376" spans="1:27" ht="24.95" customHeight="1">
      <c r="A376" s="1"/>
      <c r="B376" s="1"/>
      <c r="C376" s="48" t="str">
        <f>IF(B376="","",IFERROR(INDEX(SakesV5[銘柄],MATCH(B376,SakesV5[酒款ID],0)),"酒款ID未找到"))</f>
        <v/>
      </c>
      <c r="D376" s="48" t="str">
        <f>IF(B376="","",IFERROR(INDEX(SakesV5[酒款],MATCH(B376,SakesV5[酒款ID],0)),"酒款ID未找到"))</f>
        <v/>
      </c>
      <c r="E376" s="1"/>
      <c r="F376" s="1"/>
      <c r="G376" s="1"/>
      <c r="H376" s="3"/>
      <c r="I376" s="3"/>
      <c r="J376" s="23"/>
      <c r="K376" s="23"/>
      <c r="L376" s="4"/>
      <c r="M376" s="19"/>
      <c r="N376" s="1"/>
      <c r="O376" s="5"/>
      <c r="P376" s="4"/>
      <c r="Q376" s="1"/>
      <c r="R376" s="1"/>
      <c r="S376" s="3"/>
      <c r="T376" s="1"/>
      <c r="U376" s="1"/>
      <c r="V376" s="1"/>
      <c r="W376" s="1"/>
      <c r="X376" s="5"/>
      <c r="Y376" s="1"/>
      <c r="Z376" s="1"/>
      <c r="AA376" s="3"/>
    </row>
    <row r="377" spans="1:27" ht="24.95" customHeight="1">
      <c r="A377" s="1"/>
      <c r="B377" s="1"/>
      <c r="C377" s="48" t="str">
        <f>IF(B377="","",IFERROR(INDEX(SakesV5[銘柄],MATCH(B377,SakesV5[酒款ID],0)),"酒款ID未找到"))</f>
        <v/>
      </c>
      <c r="D377" s="48" t="str">
        <f>IF(B377="","",IFERROR(INDEX(SakesV5[酒款],MATCH(B377,SakesV5[酒款ID],0)),"酒款ID未找到"))</f>
        <v/>
      </c>
      <c r="E377" s="1"/>
      <c r="F377" s="1"/>
      <c r="G377" s="1"/>
      <c r="H377" s="3"/>
      <c r="I377" s="3"/>
      <c r="J377" s="23"/>
      <c r="K377" s="23"/>
      <c r="L377" s="4"/>
      <c r="M377" s="19"/>
      <c r="N377" s="1"/>
      <c r="O377" s="5"/>
      <c r="P377" s="4"/>
      <c r="Q377" s="1"/>
      <c r="R377" s="1"/>
      <c r="S377" s="3"/>
      <c r="T377" s="1"/>
      <c r="U377" s="1"/>
      <c r="V377" s="1"/>
      <c r="W377" s="1"/>
      <c r="X377" s="5"/>
      <c r="Y377" s="1"/>
      <c r="Z377" s="1"/>
      <c r="AA377" s="3"/>
    </row>
    <row r="378" spans="1:27" ht="24.95" customHeight="1">
      <c r="A378" s="1"/>
      <c r="B378" s="1"/>
      <c r="C378" s="48" t="str">
        <f>IF(B378="","",IFERROR(INDEX(SakesV5[銘柄],MATCH(B378,SakesV5[酒款ID],0)),"酒款ID未找到"))</f>
        <v/>
      </c>
      <c r="D378" s="48" t="str">
        <f>IF(B378="","",IFERROR(INDEX(SakesV5[酒款],MATCH(B378,SakesV5[酒款ID],0)),"酒款ID未找到"))</f>
        <v/>
      </c>
      <c r="E378" s="1"/>
      <c r="F378" s="1"/>
      <c r="G378" s="1"/>
      <c r="H378" s="3"/>
      <c r="I378" s="3"/>
      <c r="J378" s="23"/>
      <c r="K378" s="23"/>
      <c r="L378" s="4"/>
      <c r="M378" s="19"/>
      <c r="N378" s="1"/>
      <c r="O378" s="5"/>
      <c r="P378" s="4"/>
      <c r="Q378" s="1"/>
      <c r="R378" s="1"/>
      <c r="S378" s="3"/>
      <c r="T378" s="1"/>
      <c r="U378" s="1"/>
      <c r="V378" s="1"/>
      <c r="W378" s="1"/>
      <c r="X378" s="5"/>
      <c r="Y378" s="1"/>
      <c r="Z378" s="1"/>
      <c r="AA378" s="3"/>
    </row>
    <row r="379" spans="1:27" ht="24.95" customHeight="1">
      <c r="A379" s="1"/>
      <c r="B379" s="1"/>
      <c r="C379" s="48" t="str">
        <f>IF(B379="","",IFERROR(INDEX(SakesV5[銘柄],MATCH(B379,SakesV5[酒款ID],0)),"酒款ID未找到"))</f>
        <v/>
      </c>
      <c r="D379" s="48" t="str">
        <f>IF(B379="","",IFERROR(INDEX(SakesV5[酒款],MATCH(B379,SakesV5[酒款ID],0)),"酒款ID未找到"))</f>
        <v/>
      </c>
      <c r="E379" s="1"/>
      <c r="F379" s="1"/>
      <c r="G379" s="1"/>
      <c r="H379" s="3"/>
      <c r="I379" s="3"/>
      <c r="J379" s="23"/>
      <c r="K379" s="23"/>
      <c r="L379" s="4"/>
      <c r="M379" s="19"/>
      <c r="N379" s="1"/>
      <c r="O379" s="5"/>
      <c r="P379" s="4"/>
      <c r="Q379" s="1"/>
      <c r="R379" s="1"/>
      <c r="S379" s="3"/>
      <c r="T379" s="1"/>
      <c r="U379" s="1"/>
      <c r="V379" s="1"/>
      <c r="W379" s="1"/>
      <c r="X379" s="5"/>
      <c r="Y379" s="1"/>
      <c r="Z379" s="1"/>
      <c r="AA379" s="3"/>
    </row>
    <row r="380" spans="1:27" ht="24.95" customHeight="1">
      <c r="A380" s="1"/>
      <c r="B380" s="1"/>
      <c r="C380" s="48" t="str">
        <f>IF(B380="","",IFERROR(INDEX(SakesV5[銘柄],MATCH(B380,SakesV5[酒款ID],0)),"酒款ID未找到"))</f>
        <v/>
      </c>
      <c r="D380" s="48" t="str">
        <f>IF(B380="","",IFERROR(INDEX(SakesV5[酒款],MATCH(B380,SakesV5[酒款ID],0)),"酒款ID未找到"))</f>
        <v/>
      </c>
      <c r="E380" s="1"/>
      <c r="F380" s="1"/>
      <c r="G380" s="1"/>
      <c r="H380" s="3"/>
      <c r="I380" s="3"/>
      <c r="J380" s="23"/>
      <c r="K380" s="23"/>
      <c r="L380" s="4"/>
      <c r="M380" s="19"/>
      <c r="N380" s="1"/>
      <c r="O380" s="5"/>
      <c r="P380" s="4"/>
      <c r="Q380" s="1"/>
      <c r="R380" s="1"/>
      <c r="S380" s="3"/>
      <c r="T380" s="1"/>
      <c r="U380" s="1"/>
      <c r="V380" s="1"/>
      <c r="W380" s="1"/>
      <c r="X380" s="5"/>
      <c r="Y380" s="1"/>
      <c r="Z380" s="1"/>
      <c r="AA380" s="3"/>
    </row>
    <row r="381" spans="1:27" ht="24.95" customHeight="1">
      <c r="A381" s="1"/>
      <c r="B381" s="1"/>
      <c r="C381" s="48" t="str">
        <f>IF(B381="","",IFERROR(INDEX(SakesV5[銘柄],MATCH(B381,SakesV5[酒款ID],0)),"酒款ID未找到"))</f>
        <v/>
      </c>
      <c r="D381" s="48" t="str">
        <f>IF(B381="","",IFERROR(INDEX(SakesV5[酒款],MATCH(B381,SakesV5[酒款ID],0)),"酒款ID未找到"))</f>
        <v/>
      </c>
      <c r="E381" s="1"/>
      <c r="F381" s="1"/>
      <c r="G381" s="1"/>
      <c r="H381" s="3"/>
      <c r="I381" s="3"/>
      <c r="J381" s="23"/>
      <c r="K381" s="23"/>
      <c r="L381" s="4"/>
      <c r="M381" s="19"/>
      <c r="N381" s="1"/>
      <c r="O381" s="5"/>
      <c r="P381" s="4"/>
      <c r="Q381" s="1"/>
      <c r="R381" s="1"/>
      <c r="S381" s="3"/>
      <c r="T381" s="1"/>
      <c r="U381" s="1"/>
      <c r="V381" s="1"/>
      <c r="W381" s="1"/>
      <c r="X381" s="5"/>
      <c r="Y381" s="1"/>
      <c r="Z381" s="1"/>
      <c r="AA381" s="3"/>
    </row>
    <row r="382" spans="1:27" ht="24.95" customHeight="1">
      <c r="A382" s="1"/>
      <c r="B382" s="1"/>
      <c r="C382" s="48" t="str">
        <f>IF(B382="","",IFERROR(INDEX(SakesV5[銘柄],MATCH(B382,SakesV5[酒款ID],0)),"酒款ID未找到"))</f>
        <v/>
      </c>
      <c r="D382" s="48" t="str">
        <f>IF(B382="","",IFERROR(INDEX(SakesV5[酒款],MATCH(B382,SakesV5[酒款ID],0)),"酒款ID未找到"))</f>
        <v/>
      </c>
      <c r="E382" s="1"/>
      <c r="F382" s="1"/>
      <c r="G382" s="1"/>
      <c r="H382" s="3"/>
      <c r="I382" s="3"/>
      <c r="J382" s="23"/>
      <c r="K382" s="23"/>
      <c r="L382" s="4"/>
      <c r="M382" s="19"/>
      <c r="N382" s="1"/>
      <c r="O382" s="5"/>
      <c r="P382" s="4"/>
      <c r="Q382" s="1"/>
      <c r="R382" s="1"/>
      <c r="S382" s="3"/>
      <c r="T382" s="1"/>
      <c r="U382" s="1"/>
      <c r="V382" s="1"/>
      <c r="W382" s="1"/>
      <c r="X382" s="5"/>
      <c r="Y382" s="1"/>
      <c r="Z382" s="1"/>
      <c r="AA382" s="3"/>
    </row>
    <row r="383" spans="1:27" ht="24.95" customHeight="1">
      <c r="A383" s="1"/>
      <c r="B383" s="1"/>
      <c r="C383" s="48" t="str">
        <f>IF(B383="","",IFERROR(INDEX(SakesV5[銘柄],MATCH(B383,SakesV5[酒款ID],0)),"酒款ID未找到"))</f>
        <v/>
      </c>
      <c r="D383" s="48" t="str">
        <f>IF(B383="","",IFERROR(INDEX(SakesV5[酒款],MATCH(B383,SakesV5[酒款ID],0)),"酒款ID未找到"))</f>
        <v/>
      </c>
      <c r="E383" s="1"/>
      <c r="F383" s="1"/>
      <c r="G383" s="1"/>
      <c r="H383" s="3"/>
      <c r="I383" s="3"/>
      <c r="J383" s="23"/>
      <c r="K383" s="23"/>
      <c r="L383" s="4"/>
      <c r="M383" s="19"/>
      <c r="N383" s="1"/>
      <c r="O383" s="5"/>
      <c r="P383" s="4"/>
      <c r="Q383" s="1"/>
      <c r="R383" s="1"/>
      <c r="S383" s="3"/>
      <c r="T383" s="1"/>
      <c r="U383" s="1"/>
      <c r="V383" s="1"/>
      <c r="W383" s="1"/>
      <c r="X383" s="5"/>
      <c r="Y383" s="1"/>
      <c r="Z383" s="1"/>
      <c r="AA383" s="3"/>
    </row>
    <row r="384" spans="1:27" ht="24.95" customHeight="1">
      <c r="A384" s="1"/>
      <c r="B384" s="1"/>
      <c r="C384" s="48" t="str">
        <f>IF(B384="","",IFERROR(INDEX(SakesV5[銘柄],MATCH(B384,SakesV5[酒款ID],0)),"酒款ID未找到"))</f>
        <v/>
      </c>
      <c r="D384" s="48" t="str">
        <f>IF(B384="","",IFERROR(INDEX(SakesV5[酒款],MATCH(B384,SakesV5[酒款ID],0)),"酒款ID未找到"))</f>
        <v/>
      </c>
      <c r="E384" s="1"/>
      <c r="F384" s="1"/>
      <c r="G384" s="1"/>
      <c r="H384" s="3"/>
      <c r="I384" s="3"/>
      <c r="J384" s="23"/>
      <c r="K384" s="23"/>
      <c r="L384" s="4"/>
      <c r="M384" s="19"/>
      <c r="N384" s="1"/>
      <c r="O384" s="5"/>
      <c r="P384" s="4"/>
      <c r="Q384" s="1"/>
      <c r="R384" s="1"/>
      <c r="S384" s="3"/>
      <c r="T384" s="1"/>
      <c r="U384" s="1"/>
      <c r="V384" s="1"/>
      <c r="W384" s="1"/>
      <c r="X384" s="5"/>
      <c r="Y384" s="1"/>
      <c r="Z384" s="1"/>
      <c r="AA384" s="3"/>
    </row>
    <row r="385" spans="1:27" ht="24.95" customHeight="1">
      <c r="A385" s="1"/>
      <c r="B385" s="1"/>
      <c r="C385" s="48" t="str">
        <f>IF(B385="","",IFERROR(INDEX(SakesV5[銘柄],MATCH(B385,SakesV5[酒款ID],0)),"酒款ID未找到"))</f>
        <v/>
      </c>
      <c r="D385" s="48" t="str">
        <f>IF(B385="","",IFERROR(INDEX(SakesV5[酒款],MATCH(B385,SakesV5[酒款ID],0)),"酒款ID未找到"))</f>
        <v/>
      </c>
      <c r="E385" s="1"/>
      <c r="F385" s="1"/>
      <c r="G385" s="1"/>
      <c r="H385" s="3"/>
      <c r="I385" s="3"/>
      <c r="J385" s="23"/>
      <c r="K385" s="23"/>
      <c r="L385" s="4"/>
      <c r="M385" s="19"/>
      <c r="N385" s="1"/>
      <c r="O385" s="5"/>
      <c r="P385" s="4"/>
      <c r="Q385" s="1"/>
      <c r="R385" s="1"/>
      <c r="S385" s="3"/>
      <c r="T385" s="1"/>
      <c r="U385" s="1"/>
      <c r="V385" s="1"/>
      <c r="W385" s="1"/>
      <c r="X385" s="5"/>
      <c r="Y385" s="1"/>
      <c r="Z385" s="1"/>
      <c r="AA385" s="3"/>
    </row>
    <row r="386" spans="1:27" ht="24.95" customHeight="1">
      <c r="A386" s="1"/>
      <c r="B386" s="1"/>
      <c r="C386" s="48" t="str">
        <f>IF(B386="","",IFERROR(INDEX(SakesV5[銘柄],MATCH(B386,SakesV5[酒款ID],0)),"酒款ID未找到"))</f>
        <v/>
      </c>
      <c r="D386" s="48" t="str">
        <f>IF(B386="","",IFERROR(INDEX(SakesV5[酒款],MATCH(B386,SakesV5[酒款ID],0)),"酒款ID未找到"))</f>
        <v/>
      </c>
      <c r="E386" s="1"/>
      <c r="F386" s="1"/>
      <c r="G386" s="1"/>
      <c r="H386" s="3"/>
      <c r="I386" s="3"/>
      <c r="J386" s="23"/>
      <c r="K386" s="23"/>
      <c r="L386" s="4"/>
      <c r="M386" s="19"/>
      <c r="N386" s="1"/>
      <c r="O386" s="5"/>
      <c r="P386" s="4"/>
      <c r="Q386" s="1"/>
      <c r="R386" s="1"/>
      <c r="S386" s="3"/>
      <c r="T386" s="1"/>
      <c r="U386" s="1"/>
      <c r="V386" s="1"/>
      <c r="W386" s="1"/>
      <c r="X386" s="5"/>
      <c r="Y386" s="1"/>
      <c r="Z386" s="1"/>
      <c r="AA386" s="3"/>
    </row>
    <row r="387" spans="1:27" ht="24.95" customHeight="1">
      <c r="A387" s="1"/>
      <c r="B387" s="1"/>
      <c r="C387" s="48" t="str">
        <f>IF(B387="","",IFERROR(INDEX(SakesV5[銘柄],MATCH(B387,SakesV5[酒款ID],0)),"酒款ID未找到"))</f>
        <v/>
      </c>
      <c r="D387" s="48" t="str">
        <f>IF(B387="","",IFERROR(INDEX(SakesV5[酒款],MATCH(B387,SakesV5[酒款ID],0)),"酒款ID未找到"))</f>
        <v/>
      </c>
      <c r="E387" s="1"/>
      <c r="F387" s="1"/>
      <c r="G387" s="1"/>
      <c r="H387" s="3"/>
      <c r="I387" s="3"/>
      <c r="J387" s="23"/>
      <c r="K387" s="23"/>
      <c r="L387" s="4"/>
      <c r="M387" s="19"/>
      <c r="N387" s="1"/>
      <c r="O387" s="5"/>
      <c r="P387" s="4"/>
      <c r="Q387" s="1"/>
      <c r="R387" s="1"/>
      <c r="S387" s="3"/>
      <c r="T387" s="1"/>
      <c r="U387" s="1"/>
      <c r="V387" s="1"/>
      <c r="W387" s="1"/>
      <c r="X387" s="5"/>
      <c r="Y387" s="1"/>
      <c r="Z387" s="1"/>
      <c r="AA387" s="3"/>
    </row>
    <row r="388" spans="1:27" ht="24.95" customHeight="1">
      <c r="A388" s="1"/>
      <c r="B388" s="1"/>
      <c r="C388" s="48" t="str">
        <f>IF(B388="","",IFERROR(INDEX(SakesV5[銘柄],MATCH(B388,SakesV5[酒款ID],0)),"酒款ID未找到"))</f>
        <v/>
      </c>
      <c r="D388" s="48" t="str">
        <f>IF(B388="","",IFERROR(INDEX(SakesV5[酒款],MATCH(B388,SakesV5[酒款ID],0)),"酒款ID未找到"))</f>
        <v/>
      </c>
      <c r="E388" s="1"/>
      <c r="F388" s="1"/>
      <c r="G388" s="1"/>
      <c r="H388" s="3"/>
      <c r="I388" s="3"/>
      <c r="J388" s="23"/>
      <c r="K388" s="23"/>
      <c r="L388" s="4"/>
      <c r="M388" s="19"/>
      <c r="N388" s="1"/>
      <c r="O388" s="5"/>
      <c r="P388" s="4"/>
      <c r="Q388" s="1"/>
      <c r="R388" s="1"/>
      <c r="S388" s="3"/>
      <c r="T388" s="1"/>
      <c r="U388" s="1"/>
      <c r="V388" s="1"/>
      <c r="W388" s="1"/>
      <c r="X388" s="5"/>
      <c r="Y388" s="1"/>
      <c r="Z388" s="1"/>
      <c r="AA388" s="3"/>
    </row>
    <row r="389" spans="1:27" ht="24.95" customHeight="1">
      <c r="A389" s="1"/>
      <c r="B389" s="1"/>
      <c r="C389" s="48" t="str">
        <f>IF(B389="","",IFERROR(INDEX(SakesV5[銘柄],MATCH(B389,SakesV5[酒款ID],0)),"酒款ID未找到"))</f>
        <v/>
      </c>
      <c r="D389" s="48" t="str">
        <f>IF(B389="","",IFERROR(INDEX(SakesV5[酒款],MATCH(B389,SakesV5[酒款ID],0)),"酒款ID未找到"))</f>
        <v/>
      </c>
      <c r="E389" s="1"/>
      <c r="F389" s="1"/>
      <c r="G389" s="1"/>
      <c r="H389" s="3"/>
      <c r="I389" s="3"/>
      <c r="J389" s="23"/>
      <c r="K389" s="23"/>
      <c r="L389" s="4"/>
      <c r="M389" s="19"/>
      <c r="N389" s="1"/>
      <c r="O389" s="5"/>
      <c r="P389" s="4"/>
      <c r="Q389" s="1"/>
      <c r="R389" s="1"/>
      <c r="S389" s="3"/>
      <c r="T389" s="1"/>
      <c r="U389" s="1"/>
      <c r="V389" s="1"/>
      <c r="W389" s="1"/>
      <c r="X389" s="5"/>
      <c r="Y389" s="1"/>
      <c r="Z389" s="1"/>
      <c r="AA389" s="3"/>
    </row>
    <row r="390" spans="1:27" ht="24.95" customHeight="1">
      <c r="A390" s="1"/>
      <c r="B390" s="1"/>
      <c r="C390" s="48" t="str">
        <f>IF(B390="","",IFERROR(INDEX(SakesV5[銘柄],MATCH(B390,SakesV5[酒款ID],0)),"酒款ID未找到"))</f>
        <v/>
      </c>
      <c r="D390" s="48" t="str">
        <f>IF(B390="","",IFERROR(INDEX(SakesV5[酒款],MATCH(B390,SakesV5[酒款ID],0)),"酒款ID未找到"))</f>
        <v/>
      </c>
      <c r="E390" s="1"/>
      <c r="F390" s="1"/>
      <c r="G390" s="1"/>
      <c r="H390" s="3"/>
      <c r="I390" s="3"/>
      <c r="J390" s="23"/>
      <c r="K390" s="23"/>
      <c r="L390" s="4"/>
      <c r="M390" s="19"/>
      <c r="N390" s="1"/>
      <c r="O390" s="5"/>
      <c r="P390" s="4"/>
      <c r="Q390" s="1"/>
      <c r="R390" s="1"/>
      <c r="S390" s="3"/>
      <c r="T390" s="1"/>
      <c r="U390" s="1"/>
      <c r="V390" s="1"/>
      <c r="W390" s="1"/>
      <c r="X390" s="5"/>
      <c r="Y390" s="1"/>
      <c r="Z390" s="1"/>
      <c r="AA390" s="3"/>
    </row>
    <row r="391" spans="1:27" ht="24.95" customHeight="1">
      <c r="A391" s="1"/>
      <c r="B391" s="1"/>
      <c r="C391" s="48" t="str">
        <f>IF(B391="","",IFERROR(INDEX(SakesV5[銘柄],MATCH(B391,SakesV5[酒款ID],0)),"酒款ID未找到"))</f>
        <v/>
      </c>
      <c r="D391" s="48" t="str">
        <f>IF(B391="","",IFERROR(INDEX(SakesV5[酒款],MATCH(B391,SakesV5[酒款ID],0)),"酒款ID未找到"))</f>
        <v/>
      </c>
      <c r="E391" s="1"/>
      <c r="F391" s="1"/>
      <c r="G391" s="1"/>
      <c r="H391" s="3"/>
      <c r="I391" s="3"/>
      <c r="J391" s="23"/>
      <c r="K391" s="23"/>
      <c r="L391" s="4"/>
      <c r="M391" s="19"/>
      <c r="N391" s="1"/>
      <c r="O391" s="5"/>
      <c r="P391" s="4"/>
      <c r="Q391" s="1"/>
      <c r="R391" s="1"/>
      <c r="S391" s="3"/>
      <c r="T391" s="1"/>
      <c r="U391" s="1"/>
      <c r="V391" s="1"/>
      <c r="W391" s="1"/>
      <c r="X391" s="5"/>
      <c r="Y391" s="1"/>
      <c r="Z391" s="1"/>
      <c r="AA391" s="3"/>
    </row>
    <row r="392" spans="1:27" ht="24.95" customHeight="1">
      <c r="A392" s="1"/>
      <c r="B392" s="1"/>
      <c r="C392" s="48" t="str">
        <f>IF(B392="","",IFERROR(INDEX(SakesV5[銘柄],MATCH(B392,SakesV5[酒款ID],0)),"酒款ID未找到"))</f>
        <v/>
      </c>
      <c r="D392" s="48" t="str">
        <f>IF(B392="","",IFERROR(INDEX(SakesV5[酒款],MATCH(B392,SakesV5[酒款ID],0)),"酒款ID未找到"))</f>
        <v/>
      </c>
      <c r="E392" s="1"/>
      <c r="F392" s="1"/>
      <c r="G392" s="1"/>
      <c r="H392" s="3"/>
      <c r="I392" s="3"/>
      <c r="J392" s="23"/>
      <c r="K392" s="23"/>
      <c r="L392" s="4"/>
      <c r="M392" s="19"/>
      <c r="N392" s="1"/>
      <c r="O392" s="5"/>
      <c r="P392" s="4"/>
      <c r="Q392" s="1"/>
      <c r="R392" s="1"/>
      <c r="S392" s="3"/>
      <c r="T392" s="1"/>
      <c r="U392" s="1"/>
      <c r="V392" s="1"/>
      <c r="W392" s="1"/>
      <c r="X392" s="5"/>
      <c r="Y392" s="1"/>
      <c r="Z392" s="1"/>
      <c r="AA392" s="3"/>
    </row>
    <row r="393" spans="1:27" ht="24.95" customHeight="1">
      <c r="A393" s="1"/>
      <c r="B393" s="1"/>
      <c r="C393" s="48" t="str">
        <f>IF(B393="","",IFERROR(INDEX(SakesV5[銘柄],MATCH(B393,SakesV5[酒款ID],0)),"酒款ID未找到"))</f>
        <v/>
      </c>
      <c r="D393" s="48" t="str">
        <f>IF(B393="","",IFERROR(INDEX(SakesV5[酒款],MATCH(B393,SakesV5[酒款ID],0)),"酒款ID未找到"))</f>
        <v/>
      </c>
      <c r="E393" s="1"/>
      <c r="F393" s="1"/>
      <c r="G393" s="1"/>
      <c r="H393" s="3"/>
      <c r="I393" s="3"/>
      <c r="J393" s="23"/>
      <c r="K393" s="23"/>
      <c r="L393" s="4"/>
      <c r="M393" s="19"/>
      <c r="N393" s="1"/>
      <c r="O393" s="5"/>
      <c r="P393" s="4"/>
      <c r="Q393" s="1"/>
      <c r="R393" s="1"/>
      <c r="S393" s="3"/>
      <c r="T393" s="1"/>
      <c r="U393" s="1"/>
      <c r="V393" s="1"/>
      <c r="W393" s="1"/>
      <c r="X393" s="5"/>
      <c r="Y393" s="1"/>
      <c r="Z393" s="1"/>
      <c r="AA393" s="3"/>
    </row>
    <row r="394" spans="1:27" ht="24.95" customHeight="1">
      <c r="A394" s="1"/>
      <c r="B394" s="1"/>
      <c r="C394" s="48" t="str">
        <f>IF(B394="","",IFERROR(INDEX(SakesV5[銘柄],MATCH(B394,SakesV5[酒款ID],0)),"酒款ID未找到"))</f>
        <v/>
      </c>
      <c r="D394" s="48" t="str">
        <f>IF(B394="","",IFERROR(INDEX(SakesV5[酒款],MATCH(B394,SakesV5[酒款ID],0)),"酒款ID未找到"))</f>
        <v/>
      </c>
      <c r="E394" s="1"/>
      <c r="F394" s="1"/>
      <c r="G394" s="1"/>
      <c r="H394" s="3"/>
      <c r="I394" s="3"/>
      <c r="J394" s="23"/>
      <c r="K394" s="23"/>
      <c r="L394" s="4"/>
      <c r="M394" s="19"/>
      <c r="N394" s="1"/>
      <c r="O394" s="5"/>
      <c r="P394" s="4"/>
      <c r="Q394" s="1"/>
      <c r="R394" s="1"/>
      <c r="S394" s="3"/>
      <c r="T394" s="1"/>
      <c r="U394" s="1"/>
      <c r="V394" s="1"/>
      <c r="W394" s="1"/>
      <c r="X394" s="5"/>
      <c r="Y394" s="1"/>
      <c r="Z394" s="1"/>
      <c r="AA394" s="3"/>
    </row>
    <row r="395" spans="1:27" ht="24.95" customHeight="1">
      <c r="A395" s="1"/>
      <c r="B395" s="1"/>
      <c r="C395" s="48" t="str">
        <f>IF(B395="","",IFERROR(INDEX(SakesV5[銘柄],MATCH(B395,SakesV5[酒款ID],0)),"酒款ID未找到"))</f>
        <v/>
      </c>
      <c r="D395" s="48" t="str">
        <f>IF(B395="","",IFERROR(INDEX(SakesV5[酒款],MATCH(B395,SakesV5[酒款ID],0)),"酒款ID未找到"))</f>
        <v/>
      </c>
      <c r="E395" s="1"/>
      <c r="F395" s="1"/>
      <c r="G395" s="1"/>
      <c r="H395" s="3"/>
      <c r="I395" s="3"/>
      <c r="J395" s="23"/>
      <c r="K395" s="23"/>
      <c r="L395" s="4"/>
      <c r="M395" s="19"/>
      <c r="N395" s="1"/>
      <c r="O395" s="5"/>
      <c r="P395" s="4"/>
      <c r="Q395" s="1"/>
      <c r="R395" s="1"/>
      <c r="S395" s="3"/>
      <c r="T395" s="1"/>
      <c r="U395" s="1"/>
      <c r="V395" s="1"/>
      <c r="W395" s="1"/>
      <c r="X395" s="5"/>
      <c r="Y395" s="1"/>
      <c r="Z395" s="1"/>
      <c r="AA395" s="3"/>
    </row>
    <row r="396" spans="1:27" ht="24.95" customHeight="1">
      <c r="A396" s="1"/>
      <c r="B396" s="1"/>
      <c r="C396" s="48" t="str">
        <f>IF(B396="","",IFERROR(INDEX(SakesV5[銘柄],MATCH(B396,SakesV5[酒款ID],0)),"酒款ID未找到"))</f>
        <v/>
      </c>
      <c r="D396" s="48" t="str">
        <f>IF(B396="","",IFERROR(INDEX(SakesV5[酒款],MATCH(B396,SakesV5[酒款ID],0)),"酒款ID未找到"))</f>
        <v/>
      </c>
      <c r="E396" s="1"/>
      <c r="F396" s="1"/>
      <c r="G396" s="1"/>
      <c r="H396" s="3"/>
      <c r="I396" s="3"/>
      <c r="J396" s="23"/>
      <c r="K396" s="23"/>
      <c r="L396" s="4"/>
      <c r="M396" s="19"/>
      <c r="N396" s="1"/>
      <c r="O396" s="5"/>
      <c r="P396" s="4"/>
      <c r="Q396" s="1"/>
      <c r="R396" s="1"/>
      <c r="S396" s="3"/>
      <c r="T396" s="1"/>
      <c r="U396" s="1"/>
      <c r="V396" s="1"/>
      <c r="W396" s="1"/>
      <c r="X396" s="5"/>
      <c r="Y396" s="1"/>
      <c r="Z396" s="1"/>
      <c r="AA396" s="3"/>
    </row>
    <row r="397" spans="1:27" ht="24.95" customHeight="1">
      <c r="A397" s="1"/>
      <c r="B397" s="1"/>
      <c r="C397" s="48" t="str">
        <f>IF(B397="","",IFERROR(INDEX(SakesV5[銘柄],MATCH(B397,SakesV5[酒款ID],0)),"酒款ID未找到"))</f>
        <v/>
      </c>
      <c r="D397" s="48" t="str">
        <f>IF(B397="","",IFERROR(INDEX(SakesV5[酒款],MATCH(B397,SakesV5[酒款ID],0)),"酒款ID未找到"))</f>
        <v/>
      </c>
      <c r="E397" s="1"/>
      <c r="F397" s="1"/>
      <c r="G397" s="1"/>
      <c r="H397" s="3"/>
      <c r="I397" s="3"/>
      <c r="J397" s="23"/>
      <c r="K397" s="23"/>
      <c r="L397" s="4"/>
      <c r="M397" s="19"/>
      <c r="N397" s="1"/>
      <c r="O397" s="5"/>
      <c r="P397" s="4"/>
      <c r="Q397" s="1"/>
      <c r="R397" s="1"/>
      <c r="S397" s="3"/>
      <c r="T397" s="1"/>
      <c r="U397" s="1"/>
      <c r="V397" s="1"/>
      <c r="W397" s="1"/>
      <c r="X397" s="5"/>
      <c r="Y397" s="1"/>
      <c r="Z397" s="1"/>
      <c r="AA397" s="3"/>
    </row>
    <row r="398" spans="1:27" ht="24.95" customHeight="1">
      <c r="A398" s="1"/>
      <c r="B398" s="1"/>
      <c r="C398" s="48" t="str">
        <f>IF(B398="","",IFERROR(INDEX(SakesV5[銘柄],MATCH(B398,SakesV5[酒款ID],0)),"酒款ID未找到"))</f>
        <v/>
      </c>
      <c r="D398" s="48" t="str">
        <f>IF(B398="","",IFERROR(INDEX(SakesV5[酒款],MATCH(B398,SakesV5[酒款ID],0)),"酒款ID未找到"))</f>
        <v/>
      </c>
      <c r="E398" s="1"/>
      <c r="F398" s="1"/>
      <c r="G398" s="1"/>
      <c r="H398" s="3"/>
      <c r="I398" s="3"/>
      <c r="J398" s="23"/>
      <c r="K398" s="23"/>
      <c r="L398" s="4"/>
      <c r="M398" s="19"/>
      <c r="N398" s="1"/>
      <c r="O398" s="5"/>
      <c r="P398" s="4"/>
      <c r="Q398" s="1"/>
      <c r="R398" s="1"/>
      <c r="S398" s="3"/>
      <c r="T398" s="1"/>
      <c r="U398" s="1"/>
      <c r="V398" s="1"/>
      <c r="W398" s="1"/>
      <c r="X398" s="5"/>
      <c r="Y398" s="1"/>
      <c r="Z398" s="1"/>
      <c r="AA398" s="3"/>
    </row>
    <row r="399" spans="1:27" ht="24.95" customHeight="1">
      <c r="A399" s="1"/>
      <c r="B399" s="1"/>
      <c r="C399" s="48" t="str">
        <f>IF(B399="","",IFERROR(INDEX(SakesV5[銘柄],MATCH(B399,SakesV5[酒款ID],0)),"酒款ID未找到"))</f>
        <v/>
      </c>
      <c r="D399" s="48" t="str">
        <f>IF(B399="","",IFERROR(INDEX(SakesV5[酒款],MATCH(B399,SakesV5[酒款ID],0)),"酒款ID未找到"))</f>
        <v/>
      </c>
      <c r="E399" s="1"/>
      <c r="F399" s="1"/>
      <c r="G399" s="1"/>
      <c r="H399" s="3"/>
      <c r="I399" s="3"/>
      <c r="J399" s="23"/>
      <c r="K399" s="23"/>
      <c r="L399" s="4"/>
      <c r="M399" s="19"/>
      <c r="N399" s="1"/>
      <c r="O399" s="5"/>
      <c r="P399" s="4"/>
      <c r="Q399" s="1"/>
      <c r="R399" s="1"/>
      <c r="S399" s="3"/>
      <c r="T399" s="1"/>
      <c r="U399" s="1"/>
      <c r="V399" s="1"/>
      <c r="W399" s="1"/>
      <c r="X399" s="5"/>
      <c r="Y399" s="1"/>
      <c r="Z399" s="1"/>
      <c r="AA399" s="3"/>
    </row>
    <row r="400" spans="1:27" ht="24.95" customHeight="1">
      <c r="A400" s="1"/>
      <c r="B400" s="1"/>
      <c r="C400" s="48" t="str">
        <f>IF(B400="","",IFERROR(INDEX(SakesV5[銘柄],MATCH(B400,SakesV5[酒款ID],0)),"酒款ID未找到"))</f>
        <v/>
      </c>
      <c r="D400" s="48" t="str">
        <f>IF(B400="","",IFERROR(INDEX(SakesV5[酒款],MATCH(B400,SakesV5[酒款ID],0)),"酒款ID未找到"))</f>
        <v/>
      </c>
      <c r="E400" s="1"/>
      <c r="F400" s="1"/>
      <c r="G400" s="1"/>
      <c r="H400" s="3"/>
      <c r="I400" s="3"/>
      <c r="J400" s="23"/>
      <c r="K400" s="23"/>
      <c r="L400" s="4"/>
      <c r="M400" s="19"/>
      <c r="N400" s="1"/>
      <c r="O400" s="5"/>
      <c r="P400" s="4"/>
      <c r="Q400" s="1"/>
      <c r="R400" s="1"/>
      <c r="S400" s="3"/>
      <c r="T400" s="1"/>
      <c r="U400" s="1"/>
      <c r="V400" s="1"/>
      <c r="W400" s="1"/>
      <c r="X400" s="5"/>
      <c r="Y400" s="1"/>
      <c r="Z400" s="1"/>
      <c r="AA400" s="3"/>
    </row>
    <row r="401" spans="1:27" ht="24.95" customHeight="1">
      <c r="A401" s="1"/>
      <c r="B401" s="1"/>
      <c r="C401" s="48" t="str">
        <f>IF(B401="","",IFERROR(INDEX(SakesV5[銘柄],MATCH(B401,SakesV5[酒款ID],0)),"酒款ID未找到"))</f>
        <v/>
      </c>
      <c r="D401" s="48" t="str">
        <f>IF(B401="","",IFERROR(INDEX(SakesV5[酒款],MATCH(B401,SakesV5[酒款ID],0)),"酒款ID未找到"))</f>
        <v/>
      </c>
      <c r="E401" s="1"/>
      <c r="F401" s="1"/>
      <c r="G401" s="1"/>
      <c r="H401" s="3"/>
      <c r="I401" s="3"/>
      <c r="J401" s="23"/>
      <c r="K401" s="23"/>
      <c r="L401" s="4"/>
      <c r="M401" s="19"/>
      <c r="N401" s="1"/>
      <c r="O401" s="5"/>
      <c r="P401" s="4"/>
      <c r="Q401" s="1"/>
      <c r="R401" s="1"/>
      <c r="S401" s="3"/>
      <c r="T401" s="1"/>
      <c r="U401" s="1"/>
      <c r="V401" s="1"/>
      <c r="W401" s="1"/>
      <c r="X401" s="5"/>
      <c r="Y401" s="1"/>
      <c r="Z401" s="1"/>
      <c r="AA401" s="3"/>
    </row>
    <row r="402" spans="1:27" ht="24.95" customHeight="1">
      <c r="A402" s="1"/>
      <c r="B402" s="1"/>
      <c r="C402" s="48" t="str">
        <f>IF(B402="","",IFERROR(INDEX(SakesV5[銘柄],MATCH(B402,SakesV5[酒款ID],0)),"酒款ID未找到"))</f>
        <v/>
      </c>
      <c r="D402" s="48" t="str">
        <f>IF(B402="","",IFERROR(INDEX(SakesV5[酒款],MATCH(B402,SakesV5[酒款ID],0)),"酒款ID未找到"))</f>
        <v/>
      </c>
      <c r="E402" s="1"/>
      <c r="F402" s="1"/>
      <c r="G402" s="1"/>
      <c r="H402" s="3"/>
      <c r="I402" s="3"/>
      <c r="J402" s="23"/>
      <c r="K402" s="23"/>
      <c r="L402" s="4"/>
      <c r="M402" s="19"/>
      <c r="N402" s="1"/>
      <c r="O402" s="5"/>
      <c r="P402" s="4"/>
      <c r="Q402" s="1"/>
      <c r="R402" s="1"/>
      <c r="S402" s="3"/>
      <c r="T402" s="1"/>
      <c r="U402" s="1"/>
      <c r="V402" s="1"/>
      <c r="W402" s="1"/>
      <c r="X402" s="5"/>
      <c r="Y402" s="1"/>
      <c r="Z402" s="1"/>
      <c r="AA402" s="3"/>
    </row>
    <row r="403" spans="1:27" ht="24.95" customHeight="1">
      <c r="A403" s="1"/>
      <c r="B403" s="1"/>
      <c r="C403" s="48" t="str">
        <f>IF(B403="","",IFERROR(INDEX(SakesV5[銘柄],MATCH(B403,SakesV5[酒款ID],0)),"酒款ID未找到"))</f>
        <v/>
      </c>
      <c r="D403" s="48" t="str">
        <f>IF(B403="","",IFERROR(INDEX(SakesV5[酒款],MATCH(B403,SakesV5[酒款ID],0)),"酒款ID未找到"))</f>
        <v/>
      </c>
      <c r="E403" s="1"/>
      <c r="F403" s="1"/>
      <c r="G403" s="1"/>
      <c r="H403" s="3"/>
      <c r="I403" s="3"/>
      <c r="J403" s="23"/>
      <c r="K403" s="23"/>
      <c r="L403" s="4"/>
      <c r="M403" s="19"/>
      <c r="N403" s="1"/>
      <c r="O403" s="5"/>
      <c r="P403" s="4"/>
      <c r="Q403" s="1"/>
      <c r="R403" s="1"/>
      <c r="S403" s="3"/>
      <c r="T403" s="1"/>
      <c r="U403" s="1"/>
      <c r="V403" s="1"/>
      <c r="W403" s="1"/>
      <c r="X403" s="5"/>
      <c r="Y403" s="1"/>
      <c r="Z403" s="1"/>
      <c r="AA403" s="3"/>
    </row>
    <row r="404" spans="1:27" ht="24.95" customHeight="1">
      <c r="A404" s="1"/>
      <c r="B404" s="1"/>
      <c r="C404" s="48" t="str">
        <f>IF(B404="","",IFERROR(INDEX(SakesV5[銘柄],MATCH(B404,SakesV5[酒款ID],0)),"酒款ID未找到"))</f>
        <v/>
      </c>
      <c r="D404" s="48" t="str">
        <f>IF(B404="","",IFERROR(INDEX(SakesV5[酒款],MATCH(B404,SakesV5[酒款ID],0)),"酒款ID未找到"))</f>
        <v/>
      </c>
      <c r="E404" s="1"/>
      <c r="F404" s="1"/>
      <c r="G404" s="1"/>
      <c r="H404" s="3"/>
      <c r="I404" s="3"/>
      <c r="J404" s="23"/>
      <c r="K404" s="23"/>
      <c r="L404" s="4"/>
      <c r="M404" s="19"/>
      <c r="N404" s="1"/>
      <c r="O404" s="5"/>
      <c r="P404" s="4"/>
      <c r="Q404" s="1"/>
      <c r="R404" s="1"/>
      <c r="S404" s="3"/>
      <c r="T404" s="1"/>
      <c r="U404" s="1"/>
      <c r="V404" s="1"/>
      <c r="W404" s="1"/>
      <c r="X404" s="5"/>
      <c r="Y404" s="1"/>
      <c r="Z404" s="1"/>
      <c r="AA404" s="3"/>
    </row>
    <row r="405" spans="1:27" ht="24.95" customHeight="1">
      <c r="A405" s="1"/>
      <c r="B405" s="1"/>
      <c r="C405" s="48" t="str">
        <f>IF(B405="","",IFERROR(INDEX(SakesV5[銘柄],MATCH(B405,SakesV5[酒款ID],0)),"酒款ID未找到"))</f>
        <v/>
      </c>
      <c r="D405" s="48" t="str">
        <f>IF(B405="","",IFERROR(INDEX(SakesV5[酒款],MATCH(B405,SakesV5[酒款ID],0)),"酒款ID未找到"))</f>
        <v/>
      </c>
      <c r="E405" s="1"/>
      <c r="F405" s="1"/>
      <c r="G405" s="1"/>
      <c r="H405" s="3"/>
      <c r="I405" s="3"/>
      <c r="J405" s="23"/>
      <c r="K405" s="23"/>
      <c r="L405" s="4"/>
      <c r="M405" s="19"/>
      <c r="N405" s="1"/>
      <c r="O405" s="5"/>
      <c r="P405" s="4"/>
      <c r="Q405" s="1"/>
      <c r="R405" s="1"/>
      <c r="S405" s="3"/>
      <c r="T405" s="1"/>
      <c r="U405" s="1"/>
      <c r="V405" s="1"/>
      <c r="W405" s="1"/>
      <c r="X405" s="5"/>
      <c r="Y405" s="1"/>
      <c r="Z405" s="1"/>
      <c r="AA405" s="3"/>
    </row>
    <row r="406" spans="1:27" ht="24.95" customHeight="1">
      <c r="A406" s="1"/>
      <c r="B406" s="1"/>
      <c r="C406" s="48" t="str">
        <f>IF(B406="","",IFERROR(INDEX(SakesV5[銘柄],MATCH(B406,SakesV5[酒款ID],0)),"酒款ID未找到"))</f>
        <v/>
      </c>
      <c r="D406" s="48" t="str">
        <f>IF(B406="","",IFERROR(INDEX(SakesV5[酒款],MATCH(B406,SakesV5[酒款ID],0)),"酒款ID未找到"))</f>
        <v/>
      </c>
      <c r="E406" s="1"/>
      <c r="F406" s="1"/>
      <c r="G406" s="1"/>
      <c r="H406" s="3"/>
      <c r="I406" s="3"/>
      <c r="J406" s="23"/>
      <c r="K406" s="23"/>
      <c r="L406" s="4"/>
      <c r="M406" s="19"/>
      <c r="N406" s="1"/>
      <c r="O406" s="5"/>
      <c r="P406" s="4"/>
      <c r="Q406" s="1"/>
      <c r="R406" s="1"/>
      <c r="S406" s="3"/>
      <c r="T406" s="1"/>
      <c r="U406" s="1"/>
      <c r="V406" s="1"/>
      <c r="W406" s="1"/>
      <c r="X406" s="5"/>
      <c r="Y406" s="1"/>
      <c r="Z406" s="1"/>
      <c r="AA406" s="3"/>
    </row>
    <row r="407" spans="1:27" ht="24.95" customHeight="1">
      <c r="A407" s="1"/>
      <c r="B407" s="1"/>
      <c r="C407" s="48" t="str">
        <f>IF(B407="","",IFERROR(INDEX(SakesV5[銘柄],MATCH(B407,SakesV5[酒款ID],0)),"酒款ID未找到"))</f>
        <v/>
      </c>
      <c r="D407" s="48" t="str">
        <f>IF(B407="","",IFERROR(INDEX(SakesV5[酒款],MATCH(B407,SakesV5[酒款ID],0)),"酒款ID未找到"))</f>
        <v/>
      </c>
      <c r="E407" s="1"/>
      <c r="F407" s="1"/>
      <c r="G407" s="1"/>
      <c r="H407" s="3"/>
      <c r="I407" s="3"/>
      <c r="J407" s="23"/>
      <c r="K407" s="23"/>
      <c r="L407" s="4"/>
      <c r="M407" s="19"/>
      <c r="N407" s="1"/>
      <c r="O407" s="5"/>
      <c r="P407" s="4"/>
      <c r="Q407" s="1"/>
      <c r="R407" s="1"/>
      <c r="S407" s="3"/>
      <c r="T407" s="1"/>
      <c r="U407" s="1"/>
      <c r="V407" s="1"/>
      <c r="W407" s="1"/>
      <c r="X407" s="5"/>
      <c r="Y407" s="1"/>
      <c r="Z407" s="1"/>
      <c r="AA407" s="3"/>
    </row>
    <row r="408" spans="1:27" ht="24.95" customHeight="1">
      <c r="A408" s="1"/>
      <c r="B408" s="1"/>
      <c r="C408" s="48" t="str">
        <f>IF(B408="","",IFERROR(INDEX(SakesV5[銘柄],MATCH(B408,SakesV5[酒款ID],0)),"酒款ID未找到"))</f>
        <v/>
      </c>
      <c r="D408" s="48" t="str">
        <f>IF(B408="","",IFERROR(INDEX(SakesV5[酒款],MATCH(B408,SakesV5[酒款ID],0)),"酒款ID未找到"))</f>
        <v/>
      </c>
      <c r="E408" s="1"/>
      <c r="F408" s="1"/>
      <c r="G408" s="1"/>
      <c r="H408" s="3"/>
      <c r="I408" s="3"/>
      <c r="J408" s="23"/>
      <c r="K408" s="23"/>
      <c r="L408" s="4"/>
      <c r="M408" s="19"/>
      <c r="N408" s="1"/>
      <c r="O408" s="5"/>
      <c r="P408" s="4"/>
      <c r="Q408" s="1"/>
      <c r="R408" s="1"/>
      <c r="S408" s="3"/>
      <c r="T408" s="1"/>
      <c r="U408" s="1"/>
      <c r="V408" s="1"/>
      <c r="W408" s="1"/>
      <c r="X408" s="5"/>
      <c r="Y408" s="1"/>
      <c r="Z408" s="1"/>
      <c r="AA408" s="3"/>
    </row>
    <row r="409" spans="1:27" ht="24.95" customHeight="1">
      <c r="A409" s="1"/>
      <c r="B409" s="1"/>
      <c r="C409" s="48" t="str">
        <f>IF(B409="","",IFERROR(INDEX(SakesV5[銘柄],MATCH(B409,SakesV5[酒款ID],0)),"酒款ID未找到"))</f>
        <v/>
      </c>
      <c r="D409" s="48" t="str">
        <f>IF(B409="","",IFERROR(INDEX(SakesV5[酒款],MATCH(B409,SakesV5[酒款ID],0)),"酒款ID未找到"))</f>
        <v/>
      </c>
      <c r="E409" s="1"/>
      <c r="F409" s="1"/>
      <c r="G409" s="1"/>
      <c r="H409" s="3"/>
      <c r="I409" s="3"/>
      <c r="J409" s="23"/>
      <c r="K409" s="23"/>
      <c r="L409" s="4"/>
      <c r="M409" s="19"/>
      <c r="N409" s="1"/>
      <c r="O409" s="5"/>
      <c r="P409" s="4"/>
      <c r="Q409" s="1"/>
      <c r="R409" s="1"/>
      <c r="S409" s="3"/>
      <c r="T409" s="1"/>
      <c r="U409" s="1"/>
      <c r="V409" s="1"/>
      <c r="W409" s="1"/>
      <c r="X409" s="5"/>
      <c r="Y409" s="1"/>
      <c r="Z409" s="1"/>
      <c r="AA409" s="3"/>
    </row>
    <row r="410" spans="1:27" ht="24.95" customHeight="1">
      <c r="A410" s="1"/>
      <c r="B410" s="1"/>
      <c r="C410" s="48" t="str">
        <f>IF(B410="","",IFERROR(INDEX(SakesV5[銘柄],MATCH(B410,SakesV5[酒款ID],0)),"酒款ID未找到"))</f>
        <v/>
      </c>
      <c r="D410" s="48" t="str">
        <f>IF(B410="","",IFERROR(INDEX(SakesV5[酒款],MATCH(B410,SakesV5[酒款ID],0)),"酒款ID未找到"))</f>
        <v/>
      </c>
      <c r="E410" s="1"/>
      <c r="F410" s="1"/>
      <c r="G410" s="1"/>
      <c r="H410" s="3"/>
      <c r="I410" s="3"/>
      <c r="J410" s="23"/>
      <c r="K410" s="23"/>
      <c r="L410" s="4"/>
      <c r="M410" s="19"/>
      <c r="N410" s="1"/>
      <c r="O410" s="5"/>
      <c r="P410" s="4"/>
      <c r="Q410" s="1"/>
      <c r="R410" s="1"/>
      <c r="S410" s="3"/>
      <c r="T410" s="1"/>
      <c r="U410" s="1"/>
      <c r="V410" s="1"/>
      <c r="W410" s="1"/>
      <c r="X410" s="5"/>
      <c r="Y410" s="1"/>
      <c r="Z410" s="1"/>
      <c r="AA410" s="3"/>
    </row>
    <row r="411" spans="1:27" ht="24.95" customHeight="1">
      <c r="A411" s="1"/>
      <c r="B411" s="1"/>
      <c r="C411" s="48" t="str">
        <f>IF(B411="","",IFERROR(INDEX(SakesV5[銘柄],MATCH(B411,SakesV5[酒款ID],0)),"酒款ID未找到"))</f>
        <v/>
      </c>
      <c r="D411" s="48" t="str">
        <f>IF(B411="","",IFERROR(INDEX(SakesV5[酒款],MATCH(B411,SakesV5[酒款ID],0)),"酒款ID未找到"))</f>
        <v/>
      </c>
      <c r="E411" s="1"/>
      <c r="F411" s="1"/>
      <c r="G411" s="1"/>
      <c r="H411" s="3"/>
      <c r="I411" s="3"/>
      <c r="J411" s="23"/>
      <c r="K411" s="23"/>
      <c r="L411" s="4"/>
      <c r="M411" s="19"/>
      <c r="N411" s="1"/>
      <c r="O411" s="5"/>
      <c r="P411" s="4"/>
      <c r="Q411" s="1"/>
      <c r="R411" s="1"/>
      <c r="S411" s="3"/>
      <c r="T411" s="1"/>
      <c r="U411" s="1"/>
      <c r="V411" s="1"/>
      <c r="W411" s="1"/>
      <c r="X411" s="5"/>
      <c r="Y411" s="1"/>
      <c r="Z411" s="1"/>
      <c r="AA411" s="3"/>
    </row>
    <row r="412" spans="1:27" ht="24.95" customHeight="1">
      <c r="A412" s="1"/>
      <c r="B412" s="1"/>
      <c r="C412" s="48" t="str">
        <f>IF(B412="","",IFERROR(INDEX(SakesV5[銘柄],MATCH(B412,SakesV5[酒款ID],0)),"酒款ID未找到"))</f>
        <v/>
      </c>
      <c r="D412" s="48" t="str">
        <f>IF(B412="","",IFERROR(INDEX(SakesV5[酒款],MATCH(B412,SakesV5[酒款ID],0)),"酒款ID未找到"))</f>
        <v/>
      </c>
      <c r="E412" s="1"/>
      <c r="F412" s="1"/>
      <c r="G412" s="1"/>
      <c r="H412" s="3"/>
      <c r="I412" s="3"/>
      <c r="J412" s="23"/>
      <c r="K412" s="23"/>
      <c r="L412" s="4"/>
      <c r="M412" s="19"/>
      <c r="N412" s="1"/>
      <c r="O412" s="5"/>
      <c r="P412" s="4"/>
      <c r="Q412" s="1"/>
      <c r="R412" s="1"/>
      <c r="S412" s="3"/>
      <c r="T412" s="1"/>
      <c r="U412" s="1"/>
      <c r="V412" s="1"/>
      <c r="W412" s="1"/>
      <c r="X412" s="5"/>
      <c r="Y412" s="1"/>
      <c r="Z412" s="1"/>
      <c r="AA412" s="3"/>
    </row>
    <row r="413" spans="1:27" ht="24.95" customHeight="1">
      <c r="A413" s="1"/>
      <c r="B413" s="1"/>
      <c r="C413" s="48" t="str">
        <f>IF(B413="","",IFERROR(INDEX(SakesV5[銘柄],MATCH(B413,SakesV5[酒款ID],0)),"酒款ID未找到"))</f>
        <v/>
      </c>
      <c r="D413" s="48" t="str">
        <f>IF(B413="","",IFERROR(INDEX(SakesV5[酒款],MATCH(B413,SakesV5[酒款ID],0)),"酒款ID未找到"))</f>
        <v/>
      </c>
      <c r="E413" s="1"/>
      <c r="F413" s="1"/>
      <c r="G413" s="1"/>
      <c r="H413" s="3"/>
      <c r="I413" s="3"/>
      <c r="J413" s="23"/>
      <c r="K413" s="23"/>
      <c r="L413" s="4"/>
      <c r="M413" s="19"/>
      <c r="N413" s="1"/>
      <c r="O413" s="5"/>
      <c r="P413" s="4"/>
      <c r="Q413" s="1"/>
      <c r="R413" s="1"/>
      <c r="S413" s="3"/>
      <c r="T413" s="1"/>
      <c r="U413" s="1"/>
      <c r="V413" s="1"/>
      <c r="W413" s="1"/>
      <c r="X413" s="5"/>
      <c r="Y413" s="1"/>
      <c r="Z413" s="1"/>
      <c r="AA413" s="3"/>
    </row>
    <row r="414" spans="1:27" ht="24.95" customHeight="1">
      <c r="A414" s="1"/>
      <c r="B414" s="1"/>
      <c r="C414" s="48" t="str">
        <f>IF(B414="","",IFERROR(INDEX(SakesV5[銘柄],MATCH(B414,SakesV5[酒款ID],0)),"酒款ID未找到"))</f>
        <v/>
      </c>
      <c r="D414" s="48" t="str">
        <f>IF(B414="","",IFERROR(INDEX(SakesV5[酒款],MATCH(B414,SakesV5[酒款ID],0)),"酒款ID未找到"))</f>
        <v/>
      </c>
      <c r="E414" s="1"/>
      <c r="F414" s="1"/>
      <c r="G414" s="1"/>
      <c r="H414" s="3"/>
      <c r="I414" s="3"/>
      <c r="J414" s="23"/>
      <c r="K414" s="23"/>
      <c r="L414" s="4"/>
      <c r="M414" s="19"/>
      <c r="N414" s="1"/>
      <c r="O414" s="5"/>
      <c r="P414" s="4"/>
      <c r="Q414" s="1"/>
      <c r="R414" s="1"/>
      <c r="S414" s="3"/>
      <c r="T414" s="1"/>
      <c r="U414" s="1"/>
      <c r="V414" s="1"/>
      <c r="W414" s="1"/>
      <c r="X414" s="5"/>
      <c r="Y414" s="1"/>
      <c r="Z414" s="1"/>
      <c r="AA414" s="3"/>
    </row>
    <row r="415" spans="1:27" ht="24.95" customHeight="1">
      <c r="A415" s="1"/>
      <c r="B415" s="1"/>
      <c r="C415" s="48" t="str">
        <f>IF(B415="","",IFERROR(INDEX(SakesV5[銘柄],MATCH(B415,SakesV5[酒款ID],0)),"酒款ID未找到"))</f>
        <v/>
      </c>
      <c r="D415" s="48" t="str">
        <f>IF(B415="","",IFERROR(INDEX(SakesV5[酒款],MATCH(B415,SakesV5[酒款ID],0)),"酒款ID未找到"))</f>
        <v/>
      </c>
      <c r="E415" s="1"/>
      <c r="F415" s="1"/>
      <c r="G415" s="1"/>
      <c r="H415" s="3"/>
      <c r="I415" s="3"/>
      <c r="J415" s="23"/>
      <c r="K415" s="23"/>
      <c r="L415" s="4"/>
      <c r="M415" s="19"/>
      <c r="N415" s="1"/>
      <c r="O415" s="5"/>
      <c r="P415" s="4"/>
      <c r="Q415" s="1"/>
      <c r="R415" s="1"/>
      <c r="S415" s="3"/>
      <c r="T415" s="1"/>
      <c r="U415" s="1"/>
      <c r="V415" s="1"/>
      <c r="W415" s="1"/>
      <c r="X415" s="5"/>
      <c r="Y415" s="1"/>
      <c r="Z415" s="1"/>
      <c r="AA415" s="3"/>
    </row>
    <row r="416" spans="1:27" ht="24.95" customHeight="1">
      <c r="A416" s="1"/>
      <c r="B416" s="1"/>
      <c r="C416" s="48" t="str">
        <f>IF(B416="","",IFERROR(INDEX(SakesV5[銘柄],MATCH(B416,SakesV5[酒款ID],0)),"酒款ID未找到"))</f>
        <v/>
      </c>
      <c r="D416" s="48" t="str">
        <f>IF(B416="","",IFERROR(INDEX(SakesV5[酒款],MATCH(B416,SakesV5[酒款ID],0)),"酒款ID未找到"))</f>
        <v/>
      </c>
      <c r="E416" s="1"/>
      <c r="F416" s="1"/>
      <c r="G416" s="1"/>
      <c r="H416" s="3"/>
      <c r="I416" s="3"/>
      <c r="J416" s="23"/>
      <c r="K416" s="23"/>
      <c r="L416" s="4"/>
      <c r="M416" s="19"/>
      <c r="N416" s="1"/>
      <c r="O416" s="5"/>
      <c r="P416" s="4"/>
      <c r="Q416" s="1"/>
      <c r="R416" s="1"/>
      <c r="S416" s="3"/>
      <c r="T416" s="1"/>
      <c r="U416" s="1"/>
      <c r="V416" s="1"/>
      <c r="W416" s="1"/>
      <c r="X416" s="5"/>
      <c r="Y416" s="1"/>
      <c r="Z416" s="1"/>
      <c r="AA416" s="3"/>
    </row>
    <row r="417" spans="1:27" ht="24.95" customHeight="1">
      <c r="A417" s="1"/>
      <c r="B417" s="1"/>
      <c r="C417" s="48" t="str">
        <f>IF(B417="","",IFERROR(INDEX(SakesV5[銘柄],MATCH(B417,SakesV5[酒款ID],0)),"酒款ID未找到"))</f>
        <v/>
      </c>
      <c r="D417" s="48" t="str">
        <f>IF(B417="","",IFERROR(INDEX(SakesV5[酒款],MATCH(B417,SakesV5[酒款ID],0)),"酒款ID未找到"))</f>
        <v/>
      </c>
      <c r="E417" s="1"/>
      <c r="F417" s="1"/>
      <c r="G417" s="1"/>
      <c r="H417" s="3"/>
      <c r="I417" s="3"/>
      <c r="J417" s="23"/>
      <c r="K417" s="23"/>
      <c r="L417" s="4"/>
      <c r="M417" s="19"/>
      <c r="N417" s="1"/>
      <c r="O417" s="5"/>
      <c r="P417" s="4"/>
      <c r="Q417" s="1"/>
      <c r="R417" s="1"/>
      <c r="S417" s="3"/>
      <c r="T417" s="1"/>
      <c r="U417" s="1"/>
      <c r="V417" s="1"/>
      <c r="W417" s="1"/>
      <c r="X417" s="5"/>
      <c r="Y417" s="1"/>
      <c r="Z417" s="1"/>
      <c r="AA417" s="3"/>
    </row>
    <row r="418" spans="1:27" ht="24.95" customHeight="1">
      <c r="A418" s="1"/>
      <c r="B418" s="1"/>
      <c r="C418" s="48" t="str">
        <f>IF(B418="","",IFERROR(INDEX(SakesV5[銘柄],MATCH(B418,SakesV5[酒款ID],0)),"酒款ID未找到"))</f>
        <v/>
      </c>
      <c r="D418" s="48" t="str">
        <f>IF(B418="","",IFERROR(INDEX(SakesV5[酒款],MATCH(B418,SakesV5[酒款ID],0)),"酒款ID未找到"))</f>
        <v/>
      </c>
      <c r="E418" s="1"/>
      <c r="F418" s="1"/>
      <c r="G418" s="1"/>
      <c r="H418" s="3"/>
      <c r="I418" s="3"/>
      <c r="J418" s="23"/>
      <c r="K418" s="23"/>
      <c r="L418" s="4"/>
      <c r="M418" s="19"/>
      <c r="N418" s="1"/>
      <c r="O418" s="5"/>
      <c r="P418" s="4"/>
      <c r="Q418" s="1"/>
      <c r="R418" s="1"/>
      <c r="S418" s="3"/>
      <c r="T418" s="1"/>
      <c r="U418" s="1"/>
      <c r="V418" s="1"/>
      <c r="W418" s="1"/>
      <c r="X418" s="5"/>
      <c r="Y418" s="1"/>
      <c r="Z418" s="1"/>
      <c r="AA418" s="3"/>
    </row>
    <row r="419" spans="1:27" ht="24.95" customHeight="1">
      <c r="A419" s="1"/>
      <c r="B419" s="1"/>
      <c r="C419" s="48" t="str">
        <f>IF(B419="","",IFERROR(INDEX(SakesV5[銘柄],MATCH(B419,SakesV5[酒款ID],0)),"酒款ID未找到"))</f>
        <v/>
      </c>
      <c r="D419" s="48" t="str">
        <f>IF(B419="","",IFERROR(INDEX(SakesV5[酒款],MATCH(B419,SakesV5[酒款ID],0)),"酒款ID未找到"))</f>
        <v/>
      </c>
      <c r="E419" s="1"/>
      <c r="F419" s="1"/>
      <c r="G419" s="1"/>
      <c r="H419" s="3"/>
      <c r="I419" s="3"/>
      <c r="J419" s="23"/>
      <c r="K419" s="23"/>
      <c r="L419" s="4"/>
      <c r="M419" s="19"/>
      <c r="N419" s="1"/>
      <c r="O419" s="5"/>
      <c r="P419" s="4"/>
      <c r="Q419" s="1"/>
      <c r="R419" s="1"/>
      <c r="S419" s="3"/>
      <c r="T419" s="1"/>
      <c r="U419" s="1"/>
      <c r="V419" s="1"/>
      <c r="W419" s="1"/>
      <c r="X419" s="5"/>
      <c r="Y419" s="1"/>
      <c r="Z419" s="1"/>
      <c r="AA419" s="3"/>
    </row>
    <row r="420" spans="1:27" ht="24.95" customHeight="1">
      <c r="A420" s="1"/>
      <c r="B420" s="1"/>
      <c r="C420" s="48" t="str">
        <f>IF(B420="","",IFERROR(INDEX(SakesV5[銘柄],MATCH(B420,SakesV5[酒款ID],0)),"酒款ID未找到"))</f>
        <v/>
      </c>
      <c r="D420" s="48" t="str">
        <f>IF(B420="","",IFERROR(INDEX(SakesV5[酒款],MATCH(B420,SakesV5[酒款ID],0)),"酒款ID未找到"))</f>
        <v/>
      </c>
      <c r="E420" s="1"/>
      <c r="F420" s="1"/>
      <c r="G420" s="1"/>
      <c r="H420" s="3"/>
      <c r="I420" s="3"/>
      <c r="J420" s="23"/>
      <c r="K420" s="23"/>
      <c r="L420" s="4"/>
      <c r="M420" s="19"/>
      <c r="N420" s="1"/>
      <c r="O420" s="5"/>
      <c r="P420" s="4"/>
      <c r="Q420" s="1"/>
      <c r="R420" s="1"/>
      <c r="S420" s="3"/>
      <c r="T420" s="1"/>
      <c r="U420" s="1"/>
      <c r="V420" s="1"/>
      <c r="W420" s="1"/>
      <c r="X420" s="5"/>
      <c r="Y420" s="1"/>
      <c r="Z420" s="1"/>
      <c r="AA420" s="3"/>
    </row>
    <row r="421" spans="1:27" ht="24.95" customHeight="1">
      <c r="A421" s="1"/>
      <c r="B421" s="1"/>
      <c r="C421" s="48" t="str">
        <f>IF(B421="","",IFERROR(INDEX(SakesV5[銘柄],MATCH(B421,SakesV5[酒款ID],0)),"酒款ID未找到"))</f>
        <v/>
      </c>
      <c r="D421" s="48" t="str">
        <f>IF(B421="","",IFERROR(INDEX(SakesV5[酒款],MATCH(B421,SakesV5[酒款ID],0)),"酒款ID未找到"))</f>
        <v/>
      </c>
      <c r="E421" s="1"/>
      <c r="F421" s="1"/>
      <c r="G421" s="1"/>
      <c r="H421" s="3"/>
      <c r="I421" s="3"/>
      <c r="J421" s="23"/>
      <c r="K421" s="23"/>
      <c r="L421" s="4"/>
      <c r="M421" s="19"/>
      <c r="N421" s="1"/>
      <c r="O421" s="5"/>
      <c r="P421" s="4"/>
      <c r="Q421" s="1"/>
      <c r="R421" s="1"/>
      <c r="S421" s="3"/>
      <c r="T421" s="1"/>
      <c r="U421" s="1"/>
      <c r="V421" s="1"/>
      <c r="W421" s="1"/>
      <c r="X421" s="5"/>
      <c r="Y421" s="1"/>
      <c r="Z421" s="1"/>
      <c r="AA421" s="3"/>
    </row>
    <row r="422" spans="1:27" ht="24.95" customHeight="1">
      <c r="A422" s="1"/>
      <c r="B422" s="1"/>
      <c r="C422" s="48" t="str">
        <f>IF(B422="","",IFERROR(INDEX(SakesV5[銘柄],MATCH(B422,SakesV5[酒款ID],0)),"酒款ID未找到"))</f>
        <v/>
      </c>
      <c r="D422" s="48" t="str">
        <f>IF(B422="","",IFERROR(INDEX(SakesV5[酒款],MATCH(B422,SakesV5[酒款ID],0)),"酒款ID未找到"))</f>
        <v/>
      </c>
      <c r="E422" s="1"/>
      <c r="F422" s="1"/>
      <c r="G422" s="1"/>
      <c r="H422" s="3"/>
      <c r="I422" s="3"/>
      <c r="J422" s="23"/>
      <c r="K422" s="23"/>
      <c r="L422" s="4"/>
      <c r="M422" s="19"/>
      <c r="N422" s="1"/>
      <c r="O422" s="5"/>
      <c r="P422" s="4"/>
      <c r="Q422" s="1"/>
      <c r="R422" s="1"/>
      <c r="S422" s="3"/>
      <c r="T422" s="1"/>
      <c r="U422" s="1"/>
      <c r="V422" s="1"/>
      <c r="W422" s="1"/>
      <c r="X422" s="5"/>
      <c r="Y422" s="1"/>
      <c r="Z422" s="1"/>
      <c r="AA422" s="3"/>
    </row>
    <row r="423" spans="1:27" ht="24.95" customHeight="1">
      <c r="A423" s="1"/>
      <c r="B423" s="1"/>
      <c r="C423" s="48" t="str">
        <f>IF(B423="","",IFERROR(INDEX(SakesV5[銘柄],MATCH(B423,SakesV5[酒款ID],0)),"酒款ID未找到"))</f>
        <v/>
      </c>
      <c r="D423" s="48" t="str">
        <f>IF(B423="","",IFERROR(INDEX(SakesV5[酒款],MATCH(B423,SakesV5[酒款ID],0)),"酒款ID未找到"))</f>
        <v/>
      </c>
      <c r="E423" s="1"/>
      <c r="F423" s="1"/>
      <c r="G423" s="1"/>
      <c r="H423" s="3"/>
      <c r="I423" s="3"/>
      <c r="J423" s="23"/>
      <c r="K423" s="23"/>
      <c r="L423" s="4"/>
      <c r="M423" s="19"/>
      <c r="N423" s="1"/>
      <c r="O423" s="5"/>
      <c r="P423" s="4"/>
      <c r="Q423" s="1"/>
      <c r="R423" s="1"/>
      <c r="S423" s="3"/>
      <c r="T423" s="1"/>
      <c r="U423" s="1"/>
      <c r="V423" s="1"/>
      <c r="W423" s="1"/>
      <c r="X423" s="5"/>
      <c r="Y423" s="1"/>
      <c r="Z423" s="1"/>
      <c r="AA423" s="3"/>
    </row>
    <row r="424" spans="1:27" ht="24.95" customHeight="1">
      <c r="A424" s="1"/>
      <c r="B424" s="1"/>
      <c r="C424" s="48" t="str">
        <f>IF(B424="","",IFERROR(INDEX(SakesV5[銘柄],MATCH(B424,SakesV5[酒款ID],0)),"酒款ID未找到"))</f>
        <v/>
      </c>
      <c r="D424" s="48" t="str">
        <f>IF(B424="","",IFERROR(INDEX(SakesV5[酒款],MATCH(B424,SakesV5[酒款ID],0)),"酒款ID未找到"))</f>
        <v/>
      </c>
      <c r="E424" s="1"/>
      <c r="F424" s="1"/>
      <c r="G424" s="1"/>
      <c r="H424" s="3"/>
      <c r="I424" s="3"/>
      <c r="J424" s="23"/>
      <c r="K424" s="23"/>
      <c r="L424" s="4"/>
      <c r="M424" s="19"/>
      <c r="N424" s="1"/>
      <c r="O424" s="5"/>
      <c r="P424" s="4"/>
      <c r="Q424" s="1"/>
      <c r="R424" s="1"/>
      <c r="S424" s="3"/>
      <c r="T424" s="1"/>
      <c r="U424" s="1"/>
      <c r="V424" s="1"/>
      <c r="W424" s="1"/>
      <c r="X424" s="5"/>
      <c r="Y424" s="1"/>
      <c r="Z424" s="1"/>
      <c r="AA424" s="3"/>
    </row>
    <row r="425" spans="1:27" ht="24.95" customHeight="1">
      <c r="A425" s="1"/>
      <c r="B425" s="1"/>
      <c r="C425" s="48" t="str">
        <f>IF(B425="","",IFERROR(INDEX(SakesV5[銘柄],MATCH(B425,SakesV5[酒款ID],0)),"酒款ID未找到"))</f>
        <v/>
      </c>
      <c r="D425" s="48" t="str">
        <f>IF(B425="","",IFERROR(INDEX(SakesV5[酒款],MATCH(B425,SakesV5[酒款ID],0)),"酒款ID未找到"))</f>
        <v/>
      </c>
      <c r="E425" s="1"/>
      <c r="F425" s="1"/>
      <c r="G425" s="1"/>
      <c r="H425" s="3"/>
      <c r="I425" s="3"/>
      <c r="J425" s="23"/>
      <c r="K425" s="23"/>
      <c r="L425" s="4"/>
      <c r="M425" s="19"/>
      <c r="N425" s="1"/>
      <c r="O425" s="5"/>
      <c r="P425" s="4"/>
      <c r="Q425" s="1"/>
      <c r="R425" s="1"/>
      <c r="S425" s="3"/>
      <c r="T425" s="1"/>
      <c r="U425" s="1"/>
      <c r="V425" s="1"/>
      <c r="W425" s="1"/>
      <c r="X425" s="5"/>
      <c r="Y425" s="1"/>
      <c r="Z425" s="1"/>
      <c r="AA425" s="3"/>
    </row>
    <row r="426" spans="1:27" ht="24.95" customHeight="1">
      <c r="A426" s="1"/>
      <c r="B426" s="1"/>
      <c r="C426" s="48" t="str">
        <f>IF(B426="","",IFERROR(INDEX(SakesV5[銘柄],MATCH(B426,SakesV5[酒款ID],0)),"酒款ID未找到"))</f>
        <v/>
      </c>
      <c r="D426" s="48" t="str">
        <f>IF(B426="","",IFERROR(INDEX(SakesV5[酒款],MATCH(B426,SakesV5[酒款ID],0)),"酒款ID未找到"))</f>
        <v/>
      </c>
      <c r="E426" s="1"/>
      <c r="F426" s="1"/>
      <c r="G426" s="1"/>
      <c r="H426" s="3"/>
      <c r="I426" s="3"/>
      <c r="J426" s="23"/>
      <c r="K426" s="23"/>
      <c r="L426" s="4"/>
      <c r="M426" s="19"/>
      <c r="N426" s="1"/>
      <c r="O426" s="5"/>
      <c r="P426" s="4"/>
      <c r="Q426" s="1"/>
      <c r="R426" s="1"/>
      <c r="S426" s="3"/>
      <c r="T426" s="1"/>
      <c r="U426" s="1"/>
      <c r="V426" s="1"/>
      <c r="W426" s="1"/>
      <c r="X426" s="5"/>
      <c r="Y426" s="1"/>
      <c r="Z426" s="1"/>
      <c r="AA426" s="3"/>
    </row>
    <row r="427" spans="1:27" ht="24.95" customHeight="1">
      <c r="A427" s="1"/>
      <c r="B427" s="1"/>
      <c r="C427" s="48" t="str">
        <f>IF(B427="","",IFERROR(INDEX(SakesV5[銘柄],MATCH(B427,SakesV5[酒款ID],0)),"酒款ID未找到"))</f>
        <v/>
      </c>
      <c r="D427" s="48" t="str">
        <f>IF(B427="","",IFERROR(INDEX(SakesV5[酒款],MATCH(B427,SakesV5[酒款ID],0)),"酒款ID未找到"))</f>
        <v/>
      </c>
      <c r="E427" s="1"/>
      <c r="F427" s="1"/>
      <c r="G427" s="1"/>
      <c r="H427" s="3"/>
      <c r="I427" s="3"/>
      <c r="J427" s="23"/>
      <c r="K427" s="23"/>
      <c r="L427" s="4"/>
      <c r="M427" s="19"/>
      <c r="N427" s="1"/>
      <c r="O427" s="5"/>
      <c r="P427" s="4"/>
      <c r="Q427" s="1"/>
      <c r="R427" s="1"/>
      <c r="S427" s="3"/>
      <c r="T427" s="1"/>
      <c r="U427" s="1"/>
      <c r="V427" s="1"/>
      <c r="W427" s="1"/>
      <c r="X427" s="5"/>
      <c r="Y427" s="1"/>
      <c r="Z427" s="1"/>
      <c r="AA427" s="3"/>
    </row>
    <row r="428" spans="1:27" ht="24.95" customHeight="1">
      <c r="A428" s="1"/>
      <c r="B428" s="1"/>
      <c r="C428" s="48" t="str">
        <f>IF(B428="","",IFERROR(INDEX(SakesV5[銘柄],MATCH(B428,SakesV5[酒款ID],0)),"酒款ID未找到"))</f>
        <v/>
      </c>
      <c r="D428" s="48" t="str">
        <f>IF(B428="","",IFERROR(INDEX(SakesV5[酒款],MATCH(B428,SakesV5[酒款ID],0)),"酒款ID未找到"))</f>
        <v/>
      </c>
      <c r="E428" s="1"/>
      <c r="F428" s="1"/>
      <c r="G428" s="1"/>
      <c r="H428" s="3"/>
      <c r="I428" s="3"/>
      <c r="J428" s="23"/>
      <c r="K428" s="23"/>
      <c r="L428" s="4"/>
      <c r="M428" s="19"/>
      <c r="N428" s="1"/>
      <c r="O428" s="5"/>
      <c r="P428" s="4"/>
      <c r="Q428" s="1"/>
      <c r="R428" s="1"/>
      <c r="S428" s="3"/>
      <c r="T428" s="1"/>
      <c r="U428" s="1"/>
      <c r="V428" s="1"/>
      <c r="W428" s="1"/>
      <c r="X428" s="5"/>
      <c r="Y428" s="1"/>
      <c r="Z428" s="1"/>
      <c r="AA428" s="3"/>
    </row>
    <row r="429" spans="1:27" ht="24.95" customHeight="1">
      <c r="A429" s="1"/>
      <c r="B429" s="1"/>
      <c r="C429" s="48" t="str">
        <f>IF(B429="","",IFERROR(INDEX(SakesV5[銘柄],MATCH(B429,SakesV5[酒款ID],0)),"酒款ID未找到"))</f>
        <v/>
      </c>
      <c r="D429" s="48" t="str">
        <f>IF(B429="","",IFERROR(INDEX(SakesV5[酒款],MATCH(B429,SakesV5[酒款ID],0)),"酒款ID未找到"))</f>
        <v/>
      </c>
      <c r="E429" s="1"/>
      <c r="F429" s="1"/>
      <c r="G429" s="1"/>
      <c r="H429" s="3"/>
      <c r="I429" s="3"/>
      <c r="J429" s="23"/>
      <c r="K429" s="23"/>
      <c r="L429" s="4"/>
      <c r="M429" s="19"/>
      <c r="N429" s="1"/>
      <c r="O429" s="5"/>
      <c r="P429" s="4"/>
      <c r="Q429" s="1"/>
      <c r="R429" s="1"/>
      <c r="S429" s="3"/>
      <c r="T429" s="1"/>
      <c r="U429" s="1"/>
      <c r="V429" s="1"/>
      <c r="W429" s="1"/>
      <c r="X429" s="5"/>
      <c r="Y429" s="1"/>
      <c r="Z429" s="1"/>
      <c r="AA429" s="3"/>
    </row>
    <row r="430" spans="1:27" ht="24.95" customHeight="1">
      <c r="A430" s="1"/>
      <c r="B430" s="1"/>
      <c r="C430" s="48" t="str">
        <f>IF(B430="","",IFERROR(INDEX(SakesV5[銘柄],MATCH(B430,SakesV5[酒款ID],0)),"酒款ID未找到"))</f>
        <v/>
      </c>
      <c r="D430" s="48" t="str">
        <f>IF(B430="","",IFERROR(INDEX(SakesV5[酒款],MATCH(B430,SakesV5[酒款ID],0)),"酒款ID未找到"))</f>
        <v/>
      </c>
      <c r="E430" s="1"/>
      <c r="F430" s="1"/>
      <c r="G430" s="1"/>
      <c r="H430" s="3"/>
      <c r="I430" s="3"/>
      <c r="J430" s="23"/>
      <c r="K430" s="23"/>
      <c r="L430" s="4"/>
      <c r="M430" s="19"/>
      <c r="N430" s="1"/>
      <c r="O430" s="5"/>
      <c r="P430" s="4"/>
      <c r="Q430" s="1"/>
      <c r="R430" s="1"/>
      <c r="S430" s="3"/>
      <c r="T430" s="1"/>
      <c r="U430" s="1"/>
      <c r="V430" s="1"/>
      <c r="W430" s="1"/>
      <c r="X430" s="5"/>
      <c r="Y430" s="1"/>
      <c r="Z430" s="1"/>
      <c r="AA430" s="3"/>
    </row>
    <row r="431" spans="1:27" ht="24.95" customHeight="1">
      <c r="A431" s="1"/>
      <c r="B431" s="1"/>
      <c r="C431" s="48" t="str">
        <f>IF(B431="","",IFERROR(INDEX(SakesV5[銘柄],MATCH(B431,SakesV5[酒款ID],0)),"酒款ID未找到"))</f>
        <v/>
      </c>
      <c r="D431" s="48" t="str">
        <f>IF(B431="","",IFERROR(INDEX(SakesV5[酒款],MATCH(B431,SakesV5[酒款ID],0)),"酒款ID未找到"))</f>
        <v/>
      </c>
      <c r="E431" s="1"/>
      <c r="F431" s="1"/>
      <c r="G431" s="1"/>
      <c r="H431" s="3"/>
      <c r="I431" s="3"/>
      <c r="J431" s="23"/>
      <c r="K431" s="23"/>
      <c r="L431" s="4"/>
      <c r="M431" s="19"/>
      <c r="N431" s="1"/>
      <c r="O431" s="5"/>
      <c r="P431" s="4"/>
      <c r="Q431" s="1"/>
      <c r="R431" s="1"/>
      <c r="S431" s="3"/>
      <c r="T431" s="1"/>
      <c r="U431" s="1"/>
      <c r="V431" s="1"/>
      <c r="W431" s="1"/>
      <c r="X431" s="5"/>
      <c r="Y431" s="1"/>
      <c r="Z431" s="1"/>
      <c r="AA431" s="3"/>
    </row>
    <row r="432" spans="1:27" ht="24.95" customHeight="1">
      <c r="A432" s="1"/>
      <c r="B432" s="1"/>
      <c r="C432" s="48" t="str">
        <f>IF(B432="","",IFERROR(INDEX(SakesV5[銘柄],MATCH(B432,SakesV5[酒款ID],0)),"酒款ID未找到"))</f>
        <v/>
      </c>
      <c r="D432" s="48" t="str">
        <f>IF(B432="","",IFERROR(INDEX(SakesV5[酒款],MATCH(B432,SakesV5[酒款ID],0)),"酒款ID未找到"))</f>
        <v/>
      </c>
      <c r="E432" s="1"/>
      <c r="F432" s="1"/>
      <c r="G432" s="1"/>
      <c r="H432" s="3"/>
      <c r="I432" s="3"/>
      <c r="J432" s="23"/>
      <c r="K432" s="23"/>
      <c r="L432" s="4"/>
      <c r="M432" s="19"/>
      <c r="N432" s="1"/>
      <c r="O432" s="5"/>
      <c r="P432" s="4"/>
      <c r="Q432" s="1"/>
      <c r="R432" s="1"/>
      <c r="S432" s="3"/>
      <c r="T432" s="1"/>
      <c r="U432" s="1"/>
      <c r="V432" s="1"/>
      <c r="W432" s="1"/>
      <c r="X432" s="5"/>
      <c r="Y432" s="1"/>
      <c r="Z432" s="1"/>
      <c r="AA432" s="3"/>
    </row>
    <row r="433" spans="1:27" ht="24.95" customHeight="1">
      <c r="A433" s="1"/>
      <c r="B433" s="1"/>
      <c r="C433" s="48" t="str">
        <f>IF(B433="","",IFERROR(INDEX(SakesV5[銘柄],MATCH(B433,SakesV5[酒款ID],0)),"酒款ID未找到"))</f>
        <v/>
      </c>
      <c r="D433" s="48" t="str">
        <f>IF(B433="","",IFERROR(INDEX(SakesV5[酒款],MATCH(B433,SakesV5[酒款ID],0)),"酒款ID未找到"))</f>
        <v/>
      </c>
      <c r="E433" s="1"/>
      <c r="F433" s="1"/>
      <c r="G433" s="1"/>
      <c r="H433" s="3"/>
      <c r="I433" s="3"/>
      <c r="J433" s="23"/>
      <c r="K433" s="23"/>
      <c r="L433" s="4"/>
      <c r="M433" s="19"/>
      <c r="N433" s="1"/>
      <c r="O433" s="5"/>
      <c r="P433" s="4"/>
      <c r="Q433" s="1"/>
      <c r="R433" s="1"/>
      <c r="S433" s="3"/>
      <c r="T433" s="1"/>
      <c r="U433" s="1"/>
      <c r="V433" s="1"/>
      <c r="W433" s="1"/>
      <c r="X433" s="5"/>
      <c r="Y433" s="1"/>
      <c r="Z433" s="1"/>
      <c r="AA433" s="3"/>
    </row>
    <row r="434" spans="1:27" ht="24.95" customHeight="1">
      <c r="A434" s="1"/>
      <c r="B434" s="1"/>
      <c r="C434" s="48" t="str">
        <f>IF(B434="","",IFERROR(INDEX(SakesV5[銘柄],MATCH(B434,SakesV5[酒款ID],0)),"酒款ID未找到"))</f>
        <v/>
      </c>
      <c r="D434" s="48" t="str">
        <f>IF(B434="","",IFERROR(INDEX(SakesV5[酒款],MATCH(B434,SakesV5[酒款ID],0)),"酒款ID未找到"))</f>
        <v/>
      </c>
      <c r="E434" s="1"/>
      <c r="F434" s="1"/>
      <c r="G434" s="1"/>
      <c r="H434" s="3"/>
      <c r="I434" s="3"/>
      <c r="J434" s="23"/>
      <c r="K434" s="23"/>
      <c r="L434" s="4"/>
      <c r="M434" s="19"/>
      <c r="N434" s="1"/>
      <c r="O434" s="5"/>
      <c r="P434" s="4"/>
      <c r="Q434" s="1"/>
      <c r="R434" s="1"/>
      <c r="S434" s="3"/>
      <c r="T434" s="1"/>
      <c r="U434" s="1"/>
      <c r="V434" s="1"/>
      <c r="W434" s="1"/>
      <c r="X434" s="5"/>
      <c r="Y434" s="1"/>
      <c r="Z434" s="1"/>
      <c r="AA434" s="3"/>
    </row>
    <row r="435" spans="1:27" ht="24.95" customHeight="1">
      <c r="A435" s="1"/>
      <c r="B435" s="1"/>
      <c r="C435" s="48" t="str">
        <f>IF(B435="","",IFERROR(INDEX(SakesV5[銘柄],MATCH(B435,SakesV5[酒款ID],0)),"酒款ID未找到"))</f>
        <v/>
      </c>
      <c r="D435" s="48" t="str">
        <f>IF(B435="","",IFERROR(INDEX(SakesV5[酒款],MATCH(B435,SakesV5[酒款ID],0)),"酒款ID未找到"))</f>
        <v/>
      </c>
      <c r="E435" s="1"/>
      <c r="F435" s="1"/>
      <c r="G435" s="1"/>
      <c r="H435" s="3"/>
      <c r="I435" s="3"/>
      <c r="J435" s="23"/>
      <c r="K435" s="23"/>
      <c r="L435" s="4"/>
      <c r="M435" s="19"/>
      <c r="N435" s="1"/>
      <c r="O435" s="5"/>
      <c r="P435" s="4"/>
      <c r="Q435" s="1"/>
      <c r="R435" s="1"/>
      <c r="S435" s="3"/>
      <c r="T435" s="1"/>
      <c r="U435" s="1"/>
      <c r="V435" s="1"/>
      <c r="W435" s="1"/>
      <c r="X435" s="5"/>
      <c r="Y435" s="1"/>
      <c r="Z435" s="1"/>
      <c r="AA435" s="3"/>
    </row>
    <row r="436" spans="1:27" ht="24.95" customHeight="1">
      <c r="A436" s="1"/>
      <c r="B436" s="1"/>
      <c r="C436" s="48" t="str">
        <f>IF(B436="","",IFERROR(INDEX(SakesV5[銘柄],MATCH(B436,SakesV5[酒款ID],0)),"酒款ID未找到"))</f>
        <v/>
      </c>
      <c r="D436" s="48" t="str">
        <f>IF(B436="","",IFERROR(INDEX(SakesV5[酒款],MATCH(B436,SakesV5[酒款ID],0)),"酒款ID未找到"))</f>
        <v/>
      </c>
      <c r="E436" s="1"/>
      <c r="F436" s="1"/>
      <c r="G436" s="1"/>
      <c r="H436" s="3"/>
      <c r="I436" s="3"/>
      <c r="J436" s="23"/>
      <c r="K436" s="23"/>
      <c r="L436" s="4"/>
      <c r="M436" s="19"/>
      <c r="N436" s="1"/>
      <c r="O436" s="5"/>
      <c r="P436" s="4"/>
      <c r="Q436" s="1"/>
      <c r="R436" s="1"/>
      <c r="S436" s="3"/>
      <c r="T436" s="1"/>
      <c r="U436" s="1"/>
      <c r="V436" s="1"/>
      <c r="W436" s="1"/>
      <c r="X436" s="5"/>
      <c r="Y436" s="1"/>
      <c r="Z436" s="1"/>
      <c r="AA436" s="3"/>
    </row>
    <row r="437" spans="1:27" ht="24.95" customHeight="1">
      <c r="A437" s="1"/>
      <c r="B437" s="1"/>
      <c r="C437" s="48" t="str">
        <f>IF(B437="","",IFERROR(INDEX(SakesV5[銘柄],MATCH(B437,SakesV5[酒款ID],0)),"酒款ID未找到"))</f>
        <v/>
      </c>
      <c r="D437" s="48" t="str">
        <f>IF(B437="","",IFERROR(INDEX(SakesV5[酒款],MATCH(B437,SakesV5[酒款ID],0)),"酒款ID未找到"))</f>
        <v/>
      </c>
      <c r="E437" s="1"/>
      <c r="F437" s="1"/>
      <c r="G437" s="1"/>
      <c r="H437" s="3"/>
      <c r="I437" s="3"/>
      <c r="J437" s="23"/>
      <c r="K437" s="23"/>
      <c r="L437" s="4"/>
      <c r="M437" s="19"/>
      <c r="N437" s="1"/>
      <c r="O437" s="5"/>
      <c r="P437" s="4"/>
      <c r="Q437" s="1"/>
      <c r="R437" s="1"/>
      <c r="S437" s="3"/>
      <c r="T437" s="1"/>
      <c r="U437" s="1"/>
      <c r="V437" s="1"/>
      <c r="W437" s="1"/>
      <c r="X437" s="5"/>
      <c r="Y437" s="1"/>
      <c r="Z437" s="1"/>
      <c r="AA437" s="3"/>
    </row>
    <row r="438" spans="1:27" ht="24.95" customHeight="1">
      <c r="A438" s="1"/>
      <c r="B438" s="1"/>
      <c r="C438" s="48" t="str">
        <f>IF(B438="","",IFERROR(INDEX(SakesV5[銘柄],MATCH(B438,SakesV5[酒款ID],0)),"酒款ID未找到"))</f>
        <v/>
      </c>
      <c r="D438" s="48" t="str">
        <f>IF(B438="","",IFERROR(INDEX(SakesV5[酒款],MATCH(B438,SakesV5[酒款ID],0)),"酒款ID未找到"))</f>
        <v/>
      </c>
      <c r="E438" s="1"/>
      <c r="F438" s="1"/>
      <c r="G438" s="1"/>
      <c r="H438" s="3"/>
      <c r="I438" s="3"/>
      <c r="J438" s="23"/>
      <c r="K438" s="23"/>
      <c r="L438" s="4"/>
      <c r="M438" s="19"/>
      <c r="N438" s="1"/>
      <c r="O438" s="5"/>
      <c r="P438" s="4"/>
      <c r="Q438" s="1"/>
      <c r="R438" s="1"/>
      <c r="S438" s="3"/>
      <c r="T438" s="1"/>
      <c r="U438" s="1"/>
      <c r="V438" s="1"/>
      <c r="W438" s="1"/>
      <c r="X438" s="5"/>
      <c r="Y438" s="1"/>
      <c r="Z438" s="1"/>
      <c r="AA438" s="3"/>
    </row>
    <row r="439" spans="1:27" ht="24.95" customHeight="1">
      <c r="A439" s="1"/>
      <c r="B439" s="1"/>
      <c r="C439" s="48" t="str">
        <f>IF(B439="","",IFERROR(INDEX(SakesV5[銘柄],MATCH(B439,SakesV5[酒款ID],0)),"酒款ID未找到"))</f>
        <v/>
      </c>
      <c r="D439" s="48" t="str">
        <f>IF(B439="","",IFERROR(INDEX(SakesV5[酒款],MATCH(B439,SakesV5[酒款ID],0)),"酒款ID未找到"))</f>
        <v/>
      </c>
      <c r="E439" s="1"/>
      <c r="F439" s="1"/>
      <c r="G439" s="1"/>
      <c r="H439" s="3"/>
      <c r="I439" s="3"/>
      <c r="J439" s="23"/>
      <c r="K439" s="23"/>
      <c r="L439" s="4"/>
      <c r="M439" s="19"/>
      <c r="N439" s="1"/>
      <c r="O439" s="5"/>
      <c r="P439" s="4"/>
      <c r="Q439" s="1"/>
      <c r="R439" s="1"/>
      <c r="S439" s="3"/>
      <c r="T439" s="1"/>
      <c r="U439" s="1"/>
      <c r="V439" s="1"/>
      <c r="W439" s="1"/>
      <c r="X439" s="5"/>
      <c r="Y439" s="1"/>
      <c r="Z439" s="1"/>
      <c r="AA439" s="3"/>
    </row>
    <row r="440" spans="1:27" ht="24.95" customHeight="1">
      <c r="A440" s="1"/>
      <c r="B440" s="1"/>
      <c r="C440" s="48" t="str">
        <f>IF(B440="","",IFERROR(INDEX(SakesV5[銘柄],MATCH(B440,SakesV5[酒款ID],0)),"酒款ID未找到"))</f>
        <v/>
      </c>
      <c r="D440" s="48" t="str">
        <f>IF(B440="","",IFERROR(INDEX(SakesV5[酒款],MATCH(B440,SakesV5[酒款ID],0)),"酒款ID未找到"))</f>
        <v/>
      </c>
      <c r="E440" s="1"/>
      <c r="F440" s="1"/>
      <c r="G440" s="1"/>
      <c r="H440" s="3"/>
      <c r="I440" s="3"/>
      <c r="J440" s="23"/>
      <c r="K440" s="23"/>
      <c r="L440" s="4"/>
      <c r="M440" s="19"/>
      <c r="N440" s="1"/>
      <c r="O440" s="5"/>
      <c r="P440" s="4"/>
      <c r="Q440" s="1"/>
      <c r="R440" s="1"/>
      <c r="S440" s="3"/>
      <c r="T440" s="1"/>
      <c r="U440" s="1"/>
      <c r="V440" s="1"/>
      <c r="W440" s="1"/>
      <c r="X440" s="5"/>
      <c r="Y440" s="1"/>
      <c r="Z440" s="1"/>
      <c r="AA440" s="3"/>
    </row>
    <row r="441" spans="1:27" ht="24.95" customHeight="1">
      <c r="A441" s="1"/>
      <c r="B441" s="1"/>
      <c r="C441" s="48" t="str">
        <f>IF(B441="","",IFERROR(INDEX(SakesV5[銘柄],MATCH(B441,SakesV5[酒款ID],0)),"酒款ID未找到"))</f>
        <v/>
      </c>
      <c r="D441" s="48" t="str">
        <f>IF(B441="","",IFERROR(INDEX(SakesV5[酒款],MATCH(B441,SakesV5[酒款ID],0)),"酒款ID未找到"))</f>
        <v/>
      </c>
      <c r="E441" s="1"/>
      <c r="F441" s="1"/>
      <c r="G441" s="1"/>
      <c r="H441" s="3"/>
      <c r="I441" s="3"/>
      <c r="J441" s="23"/>
      <c r="K441" s="23"/>
      <c r="L441" s="4"/>
      <c r="M441" s="19"/>
      <c r="N441" s="1"/>
      <c r="O441" s="5"/>
      <c r="P441" s="4"/>
      <c r="Q441" s="1"/>
      <c r="R441" s="1"/>
      <c r="S441" s="3"/>
      <c r="T441" s="1"/>
      <c r="U441" s="1"/>
      <c r="V441" s="1"/>
      <c r="W441" s="1"/>
      <c r="X441" s="5"/>
      <c r="Y441" s="1"/>
      <c r="Z441" s="1"/>
      <c r="AA441" s="3"/>
    </row>
    <row r="442" spans="1:27" ht="24.95" customHeight="1">
      <c r="A442" s="1"/>
      <c r="B442" s="1"/>
      <c r="C442" s="48" t="str">
        <f>IF(B442="","",IFERROR(INDEX(SakesV5[銘柄],MATCH(B442,SakesV5[酒款ID],0)),"酒款ID未找到"))</f>
        <v/>
      </c>
      <c r="D442" s="48" t="str">
        <f>IF(B442="","",IFERROR(INDEX(SakesV5[酒款],MATCH(B442,SakesV5[酒款ID],0)),"酒款ID未找到"))</f>
        <v/>
      </c>
      <c r="E442" s="1"/>
      <c r="F442" s="1"/>
      <c r="G442" s="1"/>
      <c r="H442" s="3"/>
      <c r="I442" s="3"/>
      <c r="J442" s="23"/>
      <c r="K442" s="23"/>
      <c r="L442" s="4"/>
      <c r="M442" s="19"/>
      <c r="N442" s="1"/>
      <c r="O442" s="5"/>
      <c r="P442" s="4"/>
      <c r="Q442" s="1"/>
      <c r="R442" s="1"/>
      <c r="S442" s="3"/>
      <c r="T442" s="1"/>
      <c r="U442" s="1"/>
      <c r="V442" s="1"/>
      <c r="W442" s="1"/>
      <c r="X442" s="5"/>
      <c r="Y442" s="1"/>
      <c r="Z442" s="1"/>
      <c r="AA442" s="3"/>
    </row>
    <row r="443" spans="1:27" ht="24.95" customHeight="1">
      <c r="A443" s="1"/>
      <c r="B443" s="1"/>
      <c r="C443" s="48" t="str">
        <f>IF(B443="","",IFERROR(INDEX(SakesV5[銘柄],MATCH(B443,SakesV5[酒款ID],0)),"酒款ID未找到"))</f>
        <v/>
      </c>
      <c r="D443" s="48" t="str">
        <f>IF(B443="","",IFERROR(INDEX(SakesV5[酒款],MATCH(B443,SakesV5[酒款ID],0)),"酒款ID未找到"))</f>
        <v/>
      </c>
      <c r="E443" s="1"/>
      <c r="F443" s="1"/>
      <c r="G443" s="1"/>
      <c r="H443" s="3"/>
      <c r="I443" s="3"/>
      <c r="J443" s="23"/>
      <c r="K443" s="23"/>
      <c r="L443" s="4"/>
      <c r="M443" s="19"/>
      <c r="N443" s="1"/>
      <c r="O443" s="5"/>
      <c r="P443" s="4"/>
      <c r="Q443" s="1"/>
      <c r="R443" s="1"/>
      <c r="S443" s="3"/>
      <c r="T443" s="1"/>
      <c r="U443" s="1"/>
      <c r="V443" s="1"/>
      <c r="W443" s="1"/>
      <c r="X443" s="5"/>
      <c r="Y443" s="1"/>
      <c r="Z443" s="1"/>
      <c r="AA443" s="3"/>
    </row>
    <row r="444" spans="1:27" ht="24.95" customHeight="1">
      <c r="A444" s="1"/>
      <c r="B444" s="1"/>
      <c r="C444" s="48" t="str">
        <f>IF(B444="","",IFERROR(INDEX(SakesV5[銘柄],MATCH(B444,SakesV5[酒款ID],0)),"酒款ID未找到"))</f>
        <v/>
      </c>
      <c r="D444" s="48" t="str">
        <f>IF(B444="","",IFERROR(INDEX(SakesV5[酒款],MATCH(B444,SakesV5[酒款ID],0)),"酒款ID未找到"))</f>
        <v/>
      </c>
      <c r="E444" s="1"/>
      <c r="F444" s="1"/>
      <c r="G444" s="1"/>
      <c r="H444" s="3"/>
      <c r="I444" s="3"/>
      <c r="J444" s="23"/>
      <c r="K444" s="23"/>
      <c r="L444" s="4"/>
      <c r="M444" s="19"/>
      <c r="N444" s="1"/>
      <c r="O444" s="5"/>
      <c r="P444" s="4"/>
      <c r="Q444" s="1"/>
      <c r="R444" s="1"/>
      <c r="S444" s="3"/>
      <c r="T444" s="1"/>
      <c r="U444" s="1"/>
      <c r="V444" s="1"/>
      <c r="W444" s="1"/>
      <c r="X444" s="5"/>
      <c r="Y444" s="1"/>
      <c r="Z444" s="1"/>
      <c r="AA444" s="3"/>
    </row>
    <row r="445" spans="1:27" ht="24.95" customHeight="1">
      <c r="A445" s="1"/>
      <c r="B445" s="1"/>
      <c r="C445" s="48" t="str">
        <f>IF(B445="","",IFERROR(INDEX(SakesV5[銘柄],MATCH(B445,SakesV5[酒款ID],0)),"酒款ID未找到"))</f>
        <v/>
      </c>
      <c r="D445" s="48" t="str">
        <f>IF(B445="","",IFERROR(INDEX(SakesV5[酒款],MATCH(B445,SakesV5[酒款ID],0)),"酒款ID未找到"))</f>
        <v/>
      </c>
      <c r="E445" s="1"/>
      <c r="F445" s="1"/>
      <c r="G445" s="1"/>
      <c r="H445" s="3"/>
      <c r="I445" s="3"/>
      <c r="J445" s="23"/>
      <c r="K445" s="23"/>
      <c r="L445" s="4"/>
      <c r="M445" s="19"/>
      <c r="N445" s="1"/>
      <c r="O445" s="5"/>
      <c r="P445" s="4"/>
      <c r="Q445" s="1"/>
      <c r="R445" s="1"/>
      <c r="S445" s="3"/>
      <c r="T445" s="1"/>
      <c r="U445" s="1"/>
      <c r="V445" s="1"/>
      <c r="W445" s="1"/>
      <c r="X445" s="5"/>
      <c r="Y445" s="1"/>
      <c r="Z445" s="1"/>
      <c r="AA445" s="3"/>
    </row>
    <row r="446" spans="1:27" ht="24.95" customHeight="1">
      <c r="A446" s="1"/>
      <c r="B446" s="1"/>
      <c r="C446" s="48" t="str">
        <f>IF(B446="","",IFERROR(INDEX(SakesV5[銘柄],MATCH(B446,SakesV5[酒款ID],0)),"酒款ID未找到"))</f>
        <v/>
      </c>
      <c r="D446" s="48" t="str">
        <f>IF(B446="","",IFERROR(INDEX(SakesV5[酒款],MATCH(B446,SakesV5[酒款ID],0)),"酒款ID未找到"))</f>
        <v/>
      </c>
      <c r="E446" s="1"/>
      <c r="F446" s="1"/>
      <c r="G446" s="1"/>
      <c r="H446" s="3"/>
      <c r="I446" s="3"/>
      <c r="J446" s="23"/>
      <c r="K446" s="23"/>
      <c r="L446" s="4"/>
      <c r="M446" s="19"/>
      <c r="N446" s="1"/>
      <c r="O446" s="5"/>
      <c r="P446" s="4"/>
      <c r="Q446" s="1"/>
      <c r="R446" s="1"/>
      <c r="S446" s="3"/>
      <c r="T446" s="1"/>
      <c r="U446" s="1"/>
      <c r="V446" s="1"/>
      <c r="W446" s="1"/>
      <c r="X446" s="5"/>
      <c r="Y446" s="1"/>
      <c r="Z446" s="1"/>
      <c r="AA446" s="3"/>
    </row>
    <row r="447" spans="1:27" ht="24.95" customHeight="1">
      <c r="A447" s="1"/>
      <c r="B447" s="1"/>
      <c r="C447" s="48" t="str">
        <f>IF(B447="","",IFERROR(INDEX(SakesV5[銘柄],MATCH(B447,SakesV5[酒款ID],0)),"酒款ID未找到"))</f>
        <v/>
      </c>
      <c r="D447" s="48" t="str">
        <f>IF(B447="","",IFERROR(INDEX(SakesV5[酒款],MATCH(B447,SakesV5[酒款ID],0)),"酒款ID未找到"))</f>
        <v/>
      </c>
      <c r="E447" s="1"/>
      <c r="F447" s="1"/>
      <c r="G447" s="1"/>
      <c r="H447" s="3"/>
      <c r="I447" s="3"/>
      <c r="J447" s="23"/>
      <c r="K447" s="23"/>
      <c r="L447" s="4"/>
      <c r="M447" s="19"/>
      <c r="N447" s="1"/>
      <c r="O447" s="5"/>
      <c r="P447" s="4"/>
      <c r="Q447" s="1"/>
      <c r="R447" s="1"/>
      <c r="S447" s="3"/>
      <c r="T447" s="1"/>
      <c r="U447" s="1"/>
      <c r="V447" s="1"/>
      <c r="W447" s="1"/>
      <c r="X447" s="5"/>
      <c r="Y447" s="1"/>
      <c r="Z447" s="1"/>
      <c r="AA447" s="3"/>
    </row>
    <row r="448" spans="1:27" ht="24.95" customHeight="1">
      <c r="A448" s="1"/>
      <c r="B448" s="1"/>
      <c r="C448" s="48" t="str">
        <f>IF(B448="","",IFERROR(INDEX(SakesV5[銘柄],MATCH(B448,SakesV5[酒款ID],0)),"酒款ID未找到"))</f>
        <v/>
      </c>
      <c r="D448" s="48" t="str">
        <f>IF(B448="","",IFERROR(INDEX(SakesV5[酒款],MATCH(B448,SakesV5[酒款ID],0)),"酒款ID未找到"))</f>
        <v/>
      </c>
      <c r="E448" s="1"/>
      <c r="F448" s="1"/>
      <c r="G448" s="1"/>
      <c r="H448" s="3"/>
      <c r="I448" s="3"/>
      <c r="J448" s="23"/>
      <c r="K448" s="23"/>
      <c r="L448" s="4"/>
      <c r="M448" s="19"/>
      <c r="N448" s="1"/>
      <c r="O448" s="5"/>
      <c r="P448" s="4"/>
      <c r="Q448" s="1"/>
      <c r="R448" s="1"/>
      <c r="S448" s="3"/>
      <c r="T448" s="1"/>
      <c r="U448" s="1"/>
      <c r="V448" s="1"/>
      <c r="W448" s="1"/>
      <c r="X448" s="5"/>
      <c r="Y448" s="1"/>
      <c r="Z448" s="1"/>
      <c r="AA448" s="3"/>
    </row>
    <row r="449" spans="1:27" ht="24.95" customHeight="1">
      <c r="A449" s="1"/>
      <c r="B449" s="1"/>
      <c r="C449" s="48" t="str">
        <f>IF(B449="","",IFERROR(INDEX(SakesV5[銘柄],MATCH(B449,SakesV5[酒款ID],0)),"酒款ID未找到"))</f>
        <v/>
      </c>
      <c r="D449" s="48" t="str">
        <f>IF(B449="","",IFERROR(INDEX(SakesV5[酒款],MATCH(B449,SakesV5[酒款ID],0)),"酒款ID未找到"))</f>
        <v/>
      </c>
      <c r="E449" s="1"/>
      <c r="F449" s="1"/>
      <c r="G449" s="1"/>
      <c r="H449" s="3"/>
      <c r="I449" s="3"/>
      <c r="J449" s="23"/>
      <c r="K449" s="23"/>
      <c r="L449" s="4"/>
      <c r="M449" s="19"/>
      <c r="N449" s="1"/>
      <c r="O449" s="5"/>
      <c r="P449" s="4"/>
      <c r="Q449" s="1"/>
      <c r="R449" s="1"/>
      <c r="S449" s="3"/>
      <c r="T449" s="1"/>
      <c r="U449" s="1"/>
      <c r="V449" s="1"/>
      <c r="W449" s="1"/>
      <c r="X449" s="5"/>
      <c r="Y449" s="1"/>
      <c r="Z449" s="1"/>
      <c r="AA449" s="3"/>
    </row>
    <row r="450" spans="1:27" ht="24.95" customHeight="1">
      <c r="A450" s="1"/>
      <c r="B450" s="1"/>
      <c r="C450" s="48" t="str">
        <f>IF(B450="","",IFERROR(INDEX(SakesV5[銘柄],MATCH(B450,SakesV5[酒款ID],0)),"酒款ID未找到"))</f>
        <v/>
      </c>
      <c r="D450" s="48" t="str">
        <f>IF(B450="","",IFERROR(INDEX(SakesV5[酒款],MATCH(B450,SakesV5[酒款ID],0)),"酒款ID未找到"))</f>
        <v/>
      </c>
      <c r="E450" s="1"/>
      <c r="F450" s="1"/>
      <c r="G450" s="1"/>
      <c r="H450" s="3"/>
      <c r="I450" s="3"/>
      <c r="J450" s="23"/>
      <c r="K450" s="23"/>
      <c r="L450" s="4"/>
      <c r="M450" s="19"/>
      <c r="N450" s="1"/>
      <c r="O450" s="5"/>
      <c r="P450" s="4"/>
      <c r="Q450" s="1"/>
      <c r="R450" s="1"/>
      <c r="S450" s="3"/>
      <c r="T450" s="1"/>
      <c r="U450" s="1"/>
      <c r="V450" s="1"/>
      <c r="W450" s="1"/>
      <c r="X450" s="5"/>
      <c r="Y450" s="1"/>
      <c r="Z450" s="1"/>
      <c r="AA450" s="3"/>
    </row>
    <row r="451" spans="1:27" ht="24.95" customHeight="1">
      <c r="A451" s="1"/>
      <c r="B451" s="1"/>
      <c r="C451" s="48" t="str">
        <f>IF(B451="","",IFERROR(INDEX(SakesV5[銘柄],MATCH(B451,SakesV5[酒款ID],0)),"酒款ID未找到"))</f>
        <v/>
      </c>
      <c r="D451" s="48" t="str">
        <f>IF(B451="","",IFERROR(INDEX(SakesV5[酒款],MATCH(B451,SakesV5[酒款ID],0)),"酒款ID未找到"))</f>
        <v/>
      </c>
      <c r="E451" s="1"/>
      <c r="F451" s="1"/>
      <c r="G451" s="1"/>
      <c r="H451" s="3"/>
      <c r="I451" s="3"/>
      <c r="J451" s="23"/>
      <c r="K451" s="23"/>
      <c r="L451" s="4"/>
      <c r="M451" s="19"/>
      <c r="N451" s="1"/>
      <c r="O451" s="5"/>
      <c r="P451" s="4"/>
      <c r="Q451" s="1"/>
      <c r="R451" s="1"/>
      <c r="S451" s="3"/>
      <c r="T451" s="1"/>
      <c r="U451" s="1"/>
      <c r="V451" s="1"/>
      <c r="W451" s="1"/>
      <c r="X451" s="5"/>
      <c r="Y451" s="1"/>
      <c r="Z451" s="1"/>
      <c r="AA451" s="3"/>
    </row>
    <row r="452" spans="1:27" ht="24.95" customHeight="1">
      <c r="A452" s="1"/>
      <c r="B452" s="1"/>
      <c r="C452" s="48" t="str">
        <f>IF(B452="","",IFERROR(INDEX(SakesV5[銘柄],MATCH(B452,SakesV5[酒款ID],0)),"酒款ID未找到"))</f>
        <v/>
      </c>
      <c r="D452" s="48" t="str">
        <f>IF(B452="","",IFERROR(INDEX(SakesV5[酒款],MATCH(B452,SakesV5[酒款ID],0)),"酒款ID未找到"))</f>
        <v/>
      </c>
      <c r="E452" s="1"/>
      <c r="F452" s="1"/>
      <c r="G452" s="1"/>
      <c r="H452" s="3"/>
      <c r="I452" s="3"/>
      <c r="J452" s="23"/>
      <c r="K452" s="23"/>
      <c r="L452" s="4"/>
      <c r="M452" s="19"/>
      <c r="N452" s="1"/>
      <c r="O452" s="5"/>
      <c r="P452" s="4"/>
      <c r="Q452" s="1"/>
      <c r="R452" s="1"/>
      <c r="S452" s="3"/>
      <c r="T452" s="1"/>
      <c r="U452" s="1"/>
      <c r="V452" s="1"/>
      <c r="W452" s="1"/>
      <c r="X452" s="5"/>
      <c r="Y452" s="1"/>
      <c r="Z452" s="1"/>
      <c r="AA452" s="3"/>
    </row>
    <row r="453" spans="1:27" ht="24.95" customHeight="1">
      <c r="A453" s="1"/>
      <c r="B453" s="1"/>
      <c r="C453" s="48" t="str">
        <f>IF(B453="","",IFERROR(INDEX(SakesV5[銘柄],MATCH(B453,SakesV5[酒款ID],0)),"酒款ID未找到"))</f>
        <v/>
      </c>
      <c r="D453" s="48" t="str">
        <f>IF(B453="","",IFERROR(INDEX(SakesV5[酒款],MATCH(B453,SakesV5[酒款ID],0)),"酒款ID未找到"))</f>
        <v/>
      </c>
      <c r="E453" s="1"/>
      <c r="F453" s="1"/>
      <c r="G453" s="1"/>
      <c r="H453" s="3"/>
      <c r="I453" s="3"/>
      <c r="J453" s="23"/>
      <c r="K453" s="23"/>
      <c r="L453" s="4"/>
      <c r="M453" s="19"/>
      <c r="N453" s="1"/>
      <c r="O453" s="5"/>
      <c r="P453" s="4"/>
      <c r="Q453" s="1"/>
      <c r="R453" s="1"/>
      <c r="S453" s="3"/>
      <c r="T453" s="1"/>
      <c r="U453" s="1"/>
      <c r="V453" s="1"/>
      <c r="W453" s="1"/>
      <c r="X453" s="5"/>
      <c r="Y453" s="1"/>
      <c r="Z453" s="1"/>
      <c r="AA453" s="3"/>
    </row>
    <row r="454" spans="1:27" ht="24.95" customHeight="1">
      <c r="A454" s="1"/>
      <c r="B454" s="1"/>
      <c r="C454" s="48" t="str">
        <f>IF(B454="","",IFERROR(INDEX(SakesV5[銘柄],MATCH(B454,SakesV5[酒款ID],0)),"酒款ID未找到"))</f>
        <v/>
      </c>
      <c r="D454" s="48" t="str">
        <f>IF(B454="","",IFERROR(INDEX(SakesV5[酒款],MATCH(B454,SakesV5[酒款ID],0)),"酒款ID未找到"))</f>
        <v/>
      </c>
      <c r="E454" s="1"/>
      <c r="F454" s="1"/>
      <c r="G454" s="1"/>
      <c r="H454" s="3"/>
      <c r="I454" s="3"/>
      <c r="J454" s="23"/>
      <c r="K454" s="23"/>
      <c r="L454" s="4"/>
      <c r="M454" s="19"/>
      <c r="N454" s="1"/>
      <c r="O454" s="5"/>
      <c r="P454" s="4"/>
      <c r="Q454" s="1"/>
      <c r="R454" s="1"/>
      <c r="S454" s="3"/>
      <c r="T454" s="1"/>
      <c r="U454" s="1"/>
      <c r="V454" s="1"/>
      <c r="W454" s="1"/>
      <c r="X454" s="5"/>
      <c r="Y454" s="1"/>
      <c r="Z454" s="1"/>
      <c r="AA454" s="3"/>
    </row>
    <row r="455" spans="1:27" ht="24.95" customHeight="1">
      <c r="A455" s="1"/>
      <c r="B455" s="1"/>
      <c r="C455" s="48" t="str">
        <f>IF(B455="","",IFERROR(INDEX(SakesV5[銘柄],MATCH(B455,SakesV5[酒款ID],0)),"酒款ID未找到"))</f>
        <v/>
      </c>
      <c r="D455" s="48" t="str">
        <f>IF(B455="","",IFERROR(INDEX(SakesV5[酒款],MATCH(B455,SakesV5[酒款ID],0)),"酒款ID未找到"))</f>
        <v/>
      </c>
      <c r="E455" s="1"/>
      <c r="F455" s="1"/>
      <c r="G455" s="1"/>
      <c r="H455" s="3"/>
      <c r="I455" s="3"/>
      <c r="J455" s="23"/>
      <c r="K455" s="23"/>
      <c r="L455" s="4"/>
      <c r="M455" s="19"/>
      <c r="N455" s="1"/>
      <c r="O455" s="5"/>
      <c r="P455" s="4"/>
      <c r="Q455" s="1"/>
      <c r="R455" s="1"/>
      <c r="S455" s="3"/>
      <c r="T455" s="1"/>
      <c r="U455" s="1"/>
      <c r="V455" s="1"/>
      <c r="W455" s="1"/>
      <c r="X455" s="5"/>
      <c r="Y455" s="1"/>
      <c r="Z455" s="1"/>
      <c r="AA455" s="3"/>
    </row>
    <row r="456" spans="1:27" ht="24.95" customHeight="1">
      <c r="A456" s="1"/>
      <c r="B456" s="1"/>
      <c r="C456" s="48" t="str">
        <f>IF(B456="","",IFERROR(INDEX(SakesV5[銘柄],MATCH(B456,SakesV5[酒款ID],0)),"酒款ID未找到"))</f>
        <v/>
      </c>
      <c r="D456" s="48" t="str">
        <f>IF(B456="","",IFERROR(INDEX(SakesV5[酒款],MATCH(B456,SakesV5[酒款ID],0)),"酒款ID未找到"))</f>
        <v/>
      </c>
      <c r="E456" s="1"/>
      <c r="F456" s="1"/>
      <c r="G456" s="1"/>
      <c r="H456" s="3"/>
      <c r="I456" s="3"/>
      <c r="J456" s="23"/>
      <c r="K456" s="23"/>
      <c r="L456" s="4"/>
      <c r="M456" s="19"/>
      <c r="N456" s="1"/>
      <c r="O456" s="5"/>
      <c r="P456" s="4"/>
      <c r="Q456" s="1"/>
      <c r="R456" s="1"/>
      <c r="S456" s="3"/>
      <c r="T456" s="1"/>
      <c r="U456" s="1"/>
      <c r="V456" s="1"/>
      <c r="W456" s="1"/>
      <c r="X456" s="5"/>
      <c r="Y456" s="1"/>
      <c r="Z456" s="1"/>
      <c r="AA456" s="3"/>
    </row>
    <row r="457" spans="1:27" ht="24.95" customHeight="1">
      <c r="A457" s="1"/>
      <c r="B457" s="1"/>
      <c r="C457" s="48" t="str">
        <f>IF(B457="","",IFERROR(INDEX(SakesV5[銘柄],MATCH(B457,SakesV5[酒款ID],0)),"酒款ID未找到"))</f>
        <v/>
      </c>
      <c r="D457" s="48" t="str">
        <f>IF(B457="","",IFERROR(INDEX(SakesV5[酒款],MATCH(B457,SakesV5[酒款ID],0)),"酒款ID未找到"))</f>
        <v/>
      </c>
      <c r="E457" s="1"/>
      <c r="F457" s="1"/>
      <c r="G457" s="1"/>
      <c r="H457" s="3"/>
      <c r="I457" s="3"/>
      <c r="J457" s="23"/>
      <c r="K457" s="23"/>
      <c r="L457" s="4"/>
      <c r="M457" s="19"/>
      <c r="N457" s="1"/>
      <c r="O457" s="5"/>
      <c r="P457" s="4"/>
      <c r="Q457" s="1"/>
      <c r="R457" s="1"/>
      <c r="S457" s="3"/>
      <c r="T457" s="1"/>
      <c r="U457" s="1"/>
      <c r="V457" s="1"/>
      <c r="W457" s="1"/>
      <c r="X457" s="5"/>
      <c r="Y457" s="1"/>
      <c r="Z457" s="1"/>
      <c r="AA457" s="3"/>
    </row>
    <row r="458" spans="1:27" ht="24.95" customHeight="1">
      <c r="A458" s="1"/>
      <c r="B458" s="1"/>
      <c r="C458" s="48" t="str">
        <f>IF(B458="","",IFERROR(INDEX(SakesV5[銘柄],MATCH(B458,SakesV5[酒款ID],0)),"酒款ID未找到"))</f>
        <v/>
      </c>
      <c r="D458" s="48" t="str">
        <f>IF(B458="","",IFERROR(INDEX(SakesV5[酒款],MATCH(B458,SakesV5[酒款ID],0)),"酒款ID未找到"))</f>
        <v/>
      </c>
      <c r="E458" s="1"/>
      <c r="F458" s="1"/>
      <c r="G458" s="1"/>
      <c r="H458" s="3"/>
      <c r="I458" s="3"/>
      <c r="J458" s="23"/>
      <c r="K458" s="23"/>
      <c r="L458" s="4"/>
      <c r="M458" s="19"/>
      <c r="N458" s="1"/>
      <c r="O458" s="5"/>
      <c r="P458" s="4"/>
      <c r="Q458" s="1"/>
      <c r="R458" s="1"/>
      <c r="S458" s="3"/>
      <c r="T458" s="1"/>
      <c r="U458" s="1"/>
      <c r="V458" s="1"/>
      <c r="W458" s="1"/>
      <c r="X458" s="5"/>
      <c r="Y458" s="1"/>
      <c r="Z458" s="1"/>
      <c r="AA458" s="3"/>
    </row>
    <row r="459" spans="1:27" ht="24.95" customHeight="1">
      <c r="A459" s="1"/>
      <c r="B459" s="1"/>
      <c r="C459" s="48" t="str">
        <f>IF(B459="","",IFERROR(INDEX(SakesV5[銘柄],MATCH(B459,SakesV5[酒款ID],0)),"酒款ID未找到"))</f>
        <v/>
      </c>
      <c r="D459" s="48" t="str">
        <f>IF(B459="","",IFERROR(INDEX(SakesV5[酒款],MATCH(B459,SakesV5[酒款ID],0)),"酒款ID未找到"))</f>
        <v/>
      </c>
      <c r="E459" s="1"/>
      <c r="F459" s="1"/>
      <c r="G459" s="1"/>
      <c r="H459" s="3"/>
      <c r="I459" s="3"/>
      <c r="J459" s="23"/>
      <c r="K459" s="23"/>
      <c r="L459" s="4"/>
      <c r="M459" s="19"/>
      <c r="N459" s="1"/>
      <c r="O459" s="5"/>
      <c r="P459" s="4"/>
      <c r="Q459" s="1"/>
      <c r="R459" s="1"/>
      <c r="S459" s="3"/>
      <c r="T459" s="1"/>
      <c r="U459" s="1"/>
      <c r="V459" s="1"/>
      <c r="W459" s="1"/>
      <c r="X459" s="5"/>
      <c r="Y459" s="1"/>
      <c r="Z459" s="1"/>
      <c r="AA459" s="3"/>
    </row>
    <row r="460" spans="1:27" ht="24.95" customHeight="1">
      <c r="A460" s="1"/>
      <c r="B460" s="1"/>
      <c r="C460" s="48" t="str">
        <f>IF(B460="","",IFERROR(INDEX(SakesV5[銘柄],MATCH(B460,SakesV5[酒款ID],0)),"酒款ID未找到"))</f>
        <v/>
      </c>
      <c r="D460" s="48" t="str">
        <f>IF(B460="","",IFERROR(INDEX(SakesV5[酒款],MATCH(B460,SakesV5[酒款ID],0)),"酒款ID未找到"))</f>
        <v/>
      </c>
      <c r="E460" s="1"/>
      <c r="F460" s="1"/>
      <c r="G460" s="1"/>
      <c r="H460" s="3"/>
      <c r="I460" s="3"/>
      <c r="J460" s="23"/>
      <c r="K460" s="23"/>
      <c r="L460" s="4"/>
      <c r="M460" s="19"/>
      <c r="N460" s="1"/>
      <c r="O460" s="5"/>
      <c r="P460" s="4"/>
      <c r="Q460" s="1"/>
      <c r="R460" s="1"/>
      <c r="S460" s="3"/>
      <c r="T460" s="1"/>
      <c r="U460" s="1"/>
      <c r="V460" s="1"/>
      <c r="W460" s="1"/>
      <c r="X460" s="5"/>
      <c r="Y460" s="1"/>
      <c r="Z460" s="1"/>
      <c r="AA460" s="3"/>
    </row>
    <row r="461" spans="1:27" ht="24.95" customHeight="1">
      <c r="A461" s="1"/>
      <c r="B461" s="1"/>
      <c r="C461" s="48" t="str">
        <f>IF(B461="","",IFERROR(INDEX(SakesV5[銘柄],MATCH(B461,SakesV5[酒款ID],0)),"酒款ID未找到"))</f>
        <v/>
      </c>
      <c r="D461" s="48" t="str">
        <f>IF(B461="","",IFERROR(INDEX(SakesV5[酒款],MATCH(B461,SakesV5[酒款ID],0)),"酒款ID未找到"))</f>
        <v/>
      </c>
      <c r="E461" s="1"/>
      <c r="F461" s="1"/>
      <c r="G461" s="1"/>
      <c r="H461" s="3"/>
      <c r="I461" s="3"/>
      <c r="J461" s="23"/>
      <c r="K461" s="23"/>
      <c r="L461" s="4"/>
      <c r="M461" s="19"/>
      <c r="N461" s="1"/>
      <c r="O461" s="5"/>
      <c r="P461" s="4"/>
      <c r="Q461" s="1"/>
      <c r="R461" s="1"/>
      <c r="S461" s="3"/>
      <c r="T461" s="1"/>
      <c r="U461" s="1"/>
      <c r="V461" s="1"/>
      <c r="W461" s="1"/>
      <c r="X461" s="5"/>
      <c r="Y461" s="1"/>
      <c r="Z461" s="1"/>
      <c r="AA461" s="3"/>
    </row>
    <row r="462" spans="1:27" ht="24.95" customHeight="1">
      <c r="A462" s="1"/>
      <c r="B462" s="1"/>
      <c r="C462" s="48" t="str">
        <f>IF(B462="","",IFERROR(INDEX(SakesV5[銘柄],MATCH(B462,SakesV5[酒款ID],0)),"酒款ID未找到"))</f>
        <v/>
      </c>
      <c r="D462" s="48" t="str">
        <f>IF(B462="","",IFERROR(INDEX(SakesV5[酒款],MATCH(B462,SakesV5[酒款ID],0)),"酒款ID未找到"))</f>
        <v/>
      </c>
      <c r="E462" s="1"/>
      <c r="F462" s="1"/>
      <c r="G462" s="1"/>
      <c r="H462" s="3"/>
      <c r="I462" s="3"/>
      <c r="J462" s="23"/>
      <c r="K462" s="23"/>
      <c r="L462" s="4"/>
      <c r="M462" s="19"/>
      <c r="N462" s="1"/>
      <c r="O462" s="5"/>
      <c r="P462" s="4"/>
      <c r="Q462" s="1"/>
      <c r="R462" s="1"/>
      <c r="S462" s="3"/>
      <c r="T462" s="1"/>
      <c r="U462" s="1"/>
      <c r="V462" s="1"/>
      <c r="W462" s="1"/>
      <c r="X462" s="5"/>
      <c r="Y462" s="1"/>
      <c r="Z462" s="1"/>
      <c r="AA462" s="3"/>
    </row>
    <row r="463" spans="1:27" ht="24.95" customHeight="1">
      <c r="A463" s="1"/>
      <c r="B463" s="1"/>
      <c r="C463" s="48" t="str">
        <f>IF(B463="","",IFERROR(INDEX(SakesV5[銘柄],MATCH(B463,SakesV5[酒款ID],0)),"酒款ID未找到"))</f>
        <v/>
      </c>
      <c r="D463" s="48" t="str">
        <f>IF(B463="","",IFERROR(INDEX(SakesV5[酒款],MATCH(B463,SakesV5[酒款ID],0)),"酒款ID未找到"))</f>
        <v/>
      </c>
      <c r="E463" s="1"/>
      <c r="F463" s="1"/>
      <c r="G463" s="1"/>
      <c r="H463" s="3"/>
      <c r="I463" s="3"/>
      <c r="J463" s="23"/>
      <c r="K463" s="23"/>
      <c r="L463" s="4"/>
      <c r="M463" s="19"/>
      <c r="N463" s="1"/>
      <c r="O463" s="5"/>
      <c r="P463" s="4"/>
      <c r="Q463" s="1"/>
      <c r="R463" s="1"/>
      <c r="S463" s="3"/>
      <c r="T463" s="1"/>
      <c r="U463" s="1"/>
      <c r="V463" s="1"/>
      <c r="W463" s="1"/>
      <c r="X463" s="5"/>
      <c r="Y463" s="1"/>
      <c r="Z463" s="1"/>
      <c r="AA463" s="3"/>
    </row>
    <row r="464" spans="1:27" ht="24.95" customHeight="1">
      <c r="A464" s="1"/>
      <c r="B464" s="1"/>
      <c r="C464" s="48" t="str">
        <f>IF(B464="","",IFERROR(INDEX(SakesV5[銘柄],MATCH(B464,SakesV5[酒款ID],0)),"酒款ID未找到"))</f>
        <v/>
      </c>
      <c r="D464" s="48" t="str">
        <f>IF(B464="","",IFERROR(INDEX(SakesV5[酒款],MATCH(B464,SakesV5[酒款ID],0)),"酒款ID未找到"))</f>
        <v/>
      </c>
      <c r="E464" s="1"/>
      <c r="F464" s="1"/>
      <c r="G464" s="1"/>
      <c r="H464" s="3"/>
      <c r="I464" s="3"/>
      <c r="J464" s="23"/>
      <c r="K464" s="23"/>
      <c r="L464" s="4"/>
      <c r="M464" s="19"/>
      <c r="N464" s="1"/>
      <c r="O464" s="5"/>
      <c r="P464" s="4"/>
      <c r="Q464" s="1"/>
      <c r="R464" s="1"/>
      <c r="S464" s="3"/>
      <c r="T464" s="1"/>
      <c r="U464" s="1"/>
      <c r="V464" s="1"/>
      <c r="W464" s="1"/>
      <c r="X464" s="5"/>
      <c r="Y464" s="1"/>
      <c r="Z464" s="1"/>
      <c r="AA464" s="3"/>
    </row>
    <row r="465" spans="1:27" ht="24.95" customHeight="1">
      <c r="A465" s="1"/>
      <c r="B465" s="1"/>
      <c r="C465" s="48" t="str">
        <f>IF(B465="","",IFERROR(INDEX(SakesV5[銘柄],MATCH(B465,SakesV5[酒款ID],0)),"酒款ID未找到"))</f>
        <v/>
      </c>
      <c r="D465" s="48" t="str">
        <f>IF(B465="","",IFERROR(INDEX(SakesV5[酒款],MATCH(B465,SakesV5[酒款ID],0)),"酒款ID未找到"))</f>
        <v/>
      </c>
      <c r="E465" s="1"/>
      <c r="F465" s="1"/>
      <c r="G465" s="1"/>
      <c r="H465" s="3"/>
      <c r="I465" s="3"/>
      <c r="J465" s="23"/>
      <c r="K465" s="23"/>
      <c r="L465" s="4"/>
      <c r="M465" s="19"/>
      <c r="N465" s="1"/>
      <c r="O465" s="5"/>
      <c r="P465" s="4"/>
      <c r="Q465" s="1"/>
      <c r="R465" s="1"/>
      <c r="S465" s="3"/>
      <c r="T465" s="1"/>
      <c r="U465" s="1"/>
      <c r="V465" s="1"/>
      <c r="W465" s="1"/>
      <c r="X465" s="5"/>
      <c r="Y465" s="1"/>
      <c r="Z465" s="1"/>
      <c r="AA465" s="3"/>
    </row>
    <row r="466" spans="1:27" ht="24.95" customHeight="1">
      <c r="A466" s="1"/>
      <c r="B466" s="1"/>
      <c r="C466" s="48" t="str">
        <f>IF(B466="","",IFERROR(INDEX(SakesV5[銘柄],MATCH(B466,SakesV5[酒款ID],0)),"酒款ID未找到"))</f>
        <v/>
      </c>
      <c r="D466" s="48" t="str">
        <f>IF(B466="","",IFERROR(INDEX(SakesV5[酒款],MATCH(B466,SakesV5[酒款ID],0)),"酒款ID未找到"))</f>
        <v/>
      </c>
      <c r="E466" s="1"/>
      <c r="F466" s="1"/>
      <c r="G466" s="1"/>
      <c r="H466" s="3"/>
      <c r="I466" s="3"/>
      <c r="J466" s="23"/>
      <c r="K466" s="23"/>
      <c r="L466" s="4"/>
      <c r="M466" s="19"/>
      <c r="N466" s="1"/>
      <c r="O466" s="5"/>
      <c r="P466" s="4"/>
      <c r="Q466" s="1"/>
      <c r="R466" s="1"/>
      <c r="S466" s="3"/>
      <c r="T466" s="1"/>
      <c r="U466" s="1"/>
      <c r="V466" s="1"/>
      <c r="W466" s="1"/>
      <c r="X466" s="5"/>
      <c r="Y466" s="1"/>
      <c r="Z466" s="1"/>
      <c r="AA466" s="3"/>
    </row>
    <row r="467" spans="1:27" ht="24.95" customHeight="1">
      <c r="A467" s="1"/>
      <c r="B467" s="1"/>
      <c r="C467" s="48" t="str">
        <f>IF(B467="","",IFERROR(INDEX(SakesV5[銘柄],MATCH(B467,SakesV5[酒款ID],0)),"酒款ID未找到"))</f>
        <v/>
      </c>
      <c r="D467" s="48" t="str">
        <f>IF(B467="","",IFERROR(INDEX(SakesV5[酒款],MATCH(B467,SakesV5[酒款ID],0)),"酒款ID未找到"))</f>
        <v/>
      </c>
      <c r="E467" s="1"/>
      <c r="F467" s="1"/>
      <c r="G467" s="1"/>
      <c r="H467" s="3"/>
      <c r="I467" s="3"/>
      <c r="J467" s="23"/>
      <c r="K467" s="23"/>
      <c r="L467" s="4"/>
      <c r="M467" s="19"/>
      <c r="N467" s="1"/>
      <c r="O467" s="5"/>
      <c r="P467" s="4"/>
      <c r="Q467" s="1"/>
      <c r="R467" s="1"/>
      <c r="S467" s="3"/>
      <c r="T467" s="1"/>
      <c r="U467" s="1"/>
      <c r="V467" s="1"/>
      <c r="W467" s="1"/>
      <c r="X467" s="5"/>
      <c r="Y467" s="1"/>
      <c r="Z467" s="1"/>
      <c r="AA467" s="3"/>
    </row>
    <row r="468" spans="1:27" ht="24.95" customHeight="1">
      <c r="A468" s="1"/>
      <c r="B468" s="1"/>
      <c r="C468" s="48" t="str">
        <f>IF(B468="","",IFERROR(INDEX(SakesV5[銘柄],MATCH(B468,SakesV5[酒款ID],0)),"酒款ID未找到"))</f>
        <v/>
      </c>
      <c r="D468" s="48" t="str">
        <f>IF(B468="","",IFERROR(INDEX(SakesV5[酒款],MATCH(B468,SakesV5[酒款ID],0)),"酒款ID未找到"))</f>
        <v/>
      </c>
      <c r="E468" s="1"/>
      <c r="F468" s="1"/>
      <c r="G468" s="1"/>
      <c r="H468" s="3"/>
      <c r="I468" s="3"/>
      <c r="J468" s="23"/>
      <c r="K468" s="23"/>
      <c r="L468" s="4"/>
      <c r="M468" s="19"/>
      <c r="N468" s="1"/>
      <c r="O468" s="5"/>
      <c r="P468" s="4"/>
      <c r="Q468" s="1"/>
      <c r="R468" s="1"/>
      <c r="S468" s="3"/>
      <c r="T468" s="1"/>
      <c r="U468" s="1"/>
      <c r="V468" s="1"/>
      <c r="W468" s="1"/>
      <c r="X468" s="5"/>
      <c r="Y468" s="1"/>
      <c r="Z468" s="1"/>
      <c r="AA468" s="3"/>
    </row>
    <row r="469" spans="1:27" ht="24.95" customHeight="1">
      <c r="A469" s="1"/>
      <c r="B469" s="1"/>
      <c r="C469" s="48" t="str">
        <f>IF(B469="","",IFERROR(INDEX(SakesV5[銘柄],MATCH(B469,SakesV5[酒款ID],0)),"酒款ID未找到"))</f>
        <v/>
      </c>
      <c r="D469" s="48" t="str">
        <f>IF(B469="","",IFERROR(INDEX(SakesV5[酒款],MATCH(B469,SakesV5[酒款ID],0)),"酒款ID未找到"))</f>
        <v/>
      </c>
      <c r="E469" s="1"/>
      <c r="F469" s="1"/>
      <c r="G469" s="1"/>
      <c r="H469" s="3"/>
      <c r="I469" s="3"/>
      <c r="J469" s="23"/>
      <c r="K469" s="23"/>
      <c r="L469" s="4"/>
      <c r="M469" s="19"/>
      <c r="N469" s="1"/>
      <c r="O469" s="5"/>
      <c r="P469" s="4"/>
      <c r="Q469" s="1"/>
      <c r="R469" s="1"/>
      <c r="S469" s="3"/>
      <c r="T469" s="1"/>
      <c r="U469" s="1"/>
      <c r="V469" s="1"/>
      <c r="W469" s="1"/>
      <c r="X469" s="5"/>
      <c r="Y469" s="1"/>
      <c r="Z469" s="1"/>
      <c r="AA469" s="3"/>
    </row>
    <row r="470" spans="1:27" ht="24.95" customHeight="1">
      <c r="A470" s="1"/>
      <c r="B470" s="1"/>
      <c r="C470" s="48" t="str">
        <f>IF(B470="","",IFERROR(INDEX(SakesV5[銘柄],MATCH(B470,SakesV5[酒款ID],0)),"酒款ID未找到"))</f>
        <v/>
      </c>
      <c r="D470" s="48" t="str">
        <f>IF(B470="","",IFERROR(INDEX(SakesV5[酒款],MATCH(B470,SakesV5[酒款ID],0)),"酒款ID未找到"))</f>
        <v/>
      </c>
      <c r="E470" s="1"/>
      <c r="F470" s="1"/>
      <c r="G470" s="1"/>
      <c r="H470" s="3"/>
      <c r="I470" s="3"/>
      <c r="J470" s="23"/>
      <c r="K470" s="23"/>
      <c r="L470" s="4"/>
      <c r="M470" s="19"/>
      <c r="N470" s="1"/>
      <c r="O470" s="5"/>
      <c r="P470" s="4"/>
      <c r="Q470" s="1"/>
      <c r="R470" s="1"/>
      <c r="S470" s="3"/>
      <c r="T470" s="1"/>
      <c r="U470" s="1"/>
      <c r="V470" s="1"/>
      <c r="W470" s="1"/>
      <c r="X470" s="5"/>
      <c r="Y470" s="1"/>
      <c r="Z470" s="1"/>
      <c r="AA470" s="3"/>
    </row>
    <row r="471" spans="1:27" ht="24.95" customHeight="1">
      <c r="A471" s="1"/>
      <c r="B471" s="1"/>
      <c r="C471" s="48" t="str">
        <f>IF(B471="","",IFERROR(INDEX(SakesV5[銘柄],MATCH(B471,SakesV5[酒款ID],0)),"酒款ID未找到"))</f>
        <v/>
      </c>
      <c r="D471" s="48" t="str">
        <f>IF(B471="","",IFERROR(INDEX(SakesV5[酒款],MATCH(B471,SakesV5[酒款ID],0)),"酒款ID未找到"))</f>
        <v/>
      </c>
      <c r="E471" s="1"/>
      <c r="F471" s="1"/>
      <c r="G471" s="1"/>
      <c r="H471" s="3"/>
      <c r="I471" s="3"/>
      <c r="J471" s="23"/>
      <c r="K471" s="23"/>
      <c r="L471" s="4"/>
      <c r="M471" s="19"/>
      <c r="N471" s="1"/>
      <c r="O471" s="5"/>
      <c r="P471" s="4"/>
      <c r="Q471" s="1"/>
      <c r="R471" s="1"/>
      <c r="S471" s="3"/>
      <c r="T471" s="1"/>
      <c r="U471" s="1"/>
      <c r="V471" s="1"/>
      <c r="W471" s="1"/>
      <c r="X471" s="5"/>
      <c r="Y471" s="1"/>
      <c r="Z471" s="1"/>
      <c r="AA471" s="3"/>
    </row>
    <row r="472" spans="1:27" ht="24.95" customHeight="1">
      <c r="A472" s="1"/>
      <c r="B472" s="1"/>
      <c r="C472" s="48" t="str">
        <f>IF(B472="","",IFERROR(INDEX(SakesV5[銘柄],MATCH(B472,SakesV5[酒款ID],0)),"酒款ID未找到"))</f>
        <v/>
      </c>
      <c r="D472" s="48" t="str">
        <f>IF(B472="","",IFERROR(INDEX(SakesV5[酒款],MATCH(B472,SakesV5[酒款ID],0)),"酒款ID未找到"))</f>
        <v/>
      </c>
      <c r="E472" s="1"/>
      <c r="F472" s="1"/>
      <c r="G472" s="1"/>
      <c r="H472" s="3"/>
      <c r="I472" s="3"/>
      <c r="J472" s="23"/>
      <c r="K472" s="23"/>
      <c r="L472" s="4"/>
      <c r="M472" s="19"/>
      <c r="N472" s="1"/>
      <c r="O472" s="5"/>
      <c r="P472" s="4"/>
      <c r="Q472" s="1"/>
      <c r="R472" s="1"/>
      <c r="S472" s="3"/>
      <c r="T472" s="1"/>
      <c r="U472" s="1"/>
      <c r="V472" s="1"/>
      <c r="W472" s="1"/>
      <c r="X472" s="5"/>
      <c r="Y472" s="1"/>
      <c r="Z472" s="1"/>
      <c r="AA472" s="3"/>
    </row>
    <row r="473" spans="1:27" ht="24.95" customHeight="1">
      <c r="A473" s="1"/>
      <c r="B473" s="1"/>
      <c r="C473" s="48" t="str">
        <f>IF(B473="","",IFERROR(INDEX(SakesV5[銘柄],MATCH(B473,SakesV5[酒款ID],0)),"酒款ID未找到"))</f>
        <v/>
      </c>
      <c r="D473" s="48" t="str">
        <f>IF(B473="","",IFERROR(INDEX(SakesV5[酒款],MATCH(B473,SakesV5[酒款ID],0)),"酒款ID未找到"))</f>
        <v/>
      </c>
      <c r="E473" s="1"/>
      <c r="F473" s="1"/>
      <c r="G473" s="1"/>
      <c r="H473" s="3"/>
      <c r="I473" s="3"/>
      <c r="J473" s="23"/>
      <c r="K473" s="23"/>
      <c r="L473" s="4"/>
      <c r="M473" s="19"/>
      <c r="N473" s="1"/>
      <c r="O473" s="5"/>
      <c r="P473" s="4"/>
      <c r="Q473" s="1"/>
      <c r="R473" s="1"/>
      <c r="S473" s="3"/>
      <c r="T473" s="1"/>
      <c r="U473" s="1"/>
      <c r="V473" s="1"/>
      <c r="W473" s="1"/>
      <c r="X473" s="5"/>
      <c r="Y473" s="1"/>
      <c r="Z473" s="1"/>
      <c r="AA473" s="3"/>
    </row>
    <row r="474" spans="1:27" ht="24.95" customHeight="1">
      <c r="A474" s="1"/>
      <c r="B474" s="1"/>
      <c r="C474" s="48" t="str">
        <f>IF(B474="","",IFERROR(INDEX(SakesV5[銘柄],MATCH(B474,SakesV5[酒款ID],0)),"酒款ID未找到"))</f>
        <v/>
      </c>
      <c r="D474" s="48" t="str">
        <f>IF(B474="","",IFERROR(INDEX(SakesV5[酒款],MATCH(B474,SakesV5[酒款ID],0)),"酒款ID未找到"))</f>
        <v/>
      </c>
      <c r="E474" s="1"/>
      <c r="F474" s="1"/>
      <c r="G474" s="1"/>
      <c r="H474" s="3"/>
      <c r="I474" s="3"/>
      <c r="J474" s="23"/>
      <c r="K474" s="23"/>
      <c r="L474" s="4"/>
      <c r="M474" s="19"/>
      <c r="N474" s="1"/>
      <c r="O474" s="5"/>
      <c r="P474" s="4"/>
      <c r="Q474" s="1"/>
      <c r="R474" s="1"/>
      <c r="S474" s="3"/>
      <c r="T474" s="1"/>
      <c r="U474" s="1"/>
      <c r="V474" s="1"/>
      <c r="W474" s="1"/>
      <c r="X474" s="5"/>
      <c r="Y474" s="1"/>
      <c r="Z474" s="1"/>
      <c r="AA474" s="3"/>
    </row>
    <row r="475" spans="1:27" ht="24.95" customHeight="1">
      <c r="A475" s="1"/>
      <c r="B475" s="1"/>
      <c r="C475" s="48" t="str">
        <f>IF(B475="","",IFERROR(INDEX(SakesV5[銘柄],MATCH(B475,SakesV5[酒款ID],0)),"酒款ID未找到"))</f>
        <v/>
      </c>
      <c r="D475" s="48" t="str">
        <f>IF(B475="","",IFERROR(INDEX(SakesV5[酒款],MATCH(B475,SakesV5[酒款ID],0)),"酒款ID未找到"))</f>
        <v/>
      </c>
      <c r="E475" s="1"/>
      <c r="F475" s="1"/>
      <c r="G475" s="1"/>
      <c r="H475" s="3"/>
      <c r="I475" s="3"/>
      <c r="J475" s="23"/>
      <c r="K475" s="23"/>
      <c r="L475" s="4"/>
      <c r="M475" s="19"/>
      <c r="N475" s="1"/>
      <c r="O475" s="5"/>
      <c r="P475" s="4"/>
      <c r="Q475" s="1"/>
      <c r="R475" s="1"/>
      <c r="S475" s="3"/>
      <c r="T475" s="1"/>
      <c r="U475" s="1"/>
      <c r="V475" s="1"/>
      <c r="W475" s="1"/>
      <c r="X475" s="5"/>
      <c r="Y475" s="1"/>
      <c r="Z475" s="1"/>
      <c r="AA475" s="3"/>
    </row>
    <row r="476" spans="1:27" ht="24.95" customHeight="1">
      <c r="A476" s="1"/>
      <c r="B476" s="1"/>
      <c r="C476" s="48" t="str">
        <f>IF(B476="","",IFERROR(INDEX(SakesV5[銘柄],MATCH(B476,SakesV5[酒款ID],0)),"酒款ID未找到"))</f>
        <v/>
      </c>
      <c r="D476" s="48" t="str">
        <f>IF(B476="","",IFERROR(INDEX(SakesV5[酒款],MATCH(B476,SakesV5[酒款ID],0)),"酒款ID未找到"))</f>
        <v/>
      </c>
      <c r="E476" s="1"/>
      <c r="F476" s="1"/>
      <c r="G476" s="1"/>
      <c r="H476" s="3"/>
      <c r="I476" s="3"/>
      <c r="J476" s="23"/>
      <c r="K476" s="23"/>
      <c r="L476" s="4"/>
      <c r="M476" s="19"/>
      <c r="N476" s="1"/>
      <c r="O476" s="5"/>
      <c r="P476" s="4"/>
      <c r="Q476" s="1"/>
      <c r="R476" s="1"/>
      <c r="S476" s="3"/>
      <c r="T476" s="1"/>
      <c r="U476" s="1"/>
      <c r="V476" s="1"/>
      <c r="W476" s="1"/>
      <c r="X476" s="5"/>
      <c r="Y476" s="1"/>
      <c r="Z476" s="1"/>
      <c r="AA476" s="3"/>
    </row>
    <row r="477" spans="1:27" ht="24.95" customHeight="1">
      <c r="A477" s="1"/>
      <c r="B477" s="1"/>
      <c r="C477" s="48" t="str">
        <f>IF(B477="","",IFERROR(INDEX(SakesV5[銘柄],MATCH(B477,SakesV5[酒款ID],0)),"酒款ID未找到"))</f>
        <v/>
      </c>
      <c r="D477" s="48" t="str">
        <f>IF(B477="","",IFERROR(INDEX(SakesV5[酒款],MATCH(B477,SakesV5[酒款ID],0)),"酒款ID未找到"))</f>
        <v/>
      </c>
      <c r="E477" s="1"/>
      <c r="F477" s="1"/>
      <c r="G477" s="1"/>
      <c r="H477" s="3"/>
      <c r="I477" s="3"/>
      <c r="J477" s="23"/>
      <c r="K477" s="23"/>
      <c r="L477" s="4"/>
      <c r="M477" s="19"/>
      <c r="N477" s="1"/>
      <c r="O477" s="5"/>
      <c r="P477" s="4"/>
      <c r="Q477" s="1"/>
      <c r="R477" s="1"/>
      <c r="S477" s="3"/>
      <c r="T477" s="1"/>
      <c r="U477" s="1"/>
      <c r="V477" s="1"/>
      <c r="W477" s="1"/>
      <c r="X477" s="5"/>
      <c r="Y477" s="1"/>
      <c r="Z477" s="1"/>
      <c r="AA477" s="3"/>
    </row>
    <row r="478" spans="1:27" ht="24.95" customHeight="1">
      <c r="A478" s="1"/>
      <c r="B478" s="1"/>
      <c r="C478" s="48" t="str">
        <f>IF(B478="","",IFERROR(INDEX(SakesV5[銘柄],MATCH(B478,SakesV5[酒款ID],0)),"酒款ID未找到"))</f>
        <v/>
      </c>
      <c r="D478" s="48" t="str">
        <f>IF(B478="","",IFERROR(INDEX(SakesV5[酒款],MATCH(B478,SakesV5[酒款ID],0)),"酒款ID未找到"))</f>
        <v/>
      </c>
      <c r="E478" s="1"/>
      <c r="F478" s="1"/>
      <c r="G478" s="1"/>
      <c r="H478" s="3"/>
      <c r="I478" s="3"/>
      <c r="J478" s="23"/>
      <c r="K478" s="23"/>
      <c r="L478" s="4"/>
      <c r="M478" s="19"/>
      <c r="N478" s="1"/>
      <c r="O478" s="5"/>
      <c r="P478" s="4"/>
      <c r="Q478" s="1"/>
      <c r="R478" s="1"/>
      <c r="S478" s="3"/>
      <c r="T478" s="1"/>
      <c r="U478" s="1"/>
      <c r="V478" s="1"/>
      <c r="W478" s="1"/>
      <c r="X478" s="5"/>
      <c r="Y478" s="1"/>
      <c r="Z478" s="1"/>
      <c r="AA478" s="3"/>
    </row>
    <row r="479" spans="1:27" ht="24.95" customHeight="1">
      <c r="A479" s="1"/>
      <c r="B479" s="1"/>
      <c r="C479" s="48" t="str">
        <f>IF(B479="","",IFERROR(INDEX(SakesV5[銘柄],MATCH(B479,SakesV5[酒款ID],0)),"酒款ID未找到"))</f>
        <v/>
      </c>
      <c r="D479" s="48" t="str">
        <f>IF(B479="","",IFERROR(INDEX(SakesV5[酒款],MATCH(B479,SakesV5[酒款ID],0)),"酒款ID未找到"))</f>
        <v/>
      </c>
      <c r="E479" s="1"/>
      <c r="F479" s="1"/>
      <c r="G479" s="1"/>
      <c r="H479" s="3"/>
      <c r="I479" s="3"/>
      <c r="J479" s="23"/>
      <c r="K479" s="23"/>
      <c r="L479" s="4"/>
      <c r="M479" s="19"/>
      <c r="N479" s="1"/>
      <c r="O479" s="5"/>
      <c r="P479" s="4"/>
      <c r="Q479" s="1"/>
      <c r="R479" s="1"/>
      <c r="S479" s="3"/>
      <c r="T479" s="1"/>
      <c r="U479" s="1"/>
      <c r="V479" s="1"/>
      <c r="W479" s="1"/>
      <c r="X479" s="5"/>
      <c r="Y479" s="1"/>
      <c r="Z479" s="1"/>
      <c r="AA479" s="3"/>
    </row>
    <row r="480" spans="1:27" ht="24.95" customHeight="1">
      <c r="A480" s="1"/>
      <c r="B480" s="1"/>
      <c r="C480" s="48" t="str">
        <f>IF(B480="","",IFERROR(INDEX(SakesV5[銘柄],MATCH(B480,SakesV5[酒款ID],0)),"酒款ID未找到"))</f>
        <v/>
      </c>
      <c r="D480" s="48" t="str">
        <f>IF(B480="","",IFERROR(INDEX(SakesV5[酒款],MATCH(B480,SakesV5[酒款ID],0)),"酒款ID未找到"))</f>
        <v/>
      </c>
      <c r="E480" s="1"/>
      <c r="F480" s="1"/>
      <c r="G480" s="1"/>
      <c r="H480" s="3"/>
      <c r="I480" s="3"/>
      <c r="J480" s="23"/>
      <c r="K480" s="23"/>
      <c r="L480" s="4"/>
      <c r="M480" s="19"/>
      <c r="N480" s="1"/>
      <c r="O480" s="5"/>
      <c r="P480" s="4"/>
      <c r="Q480" s="1"/>
      <c r="R480" s="1"/>
      <c r="S480" s="3"/>
      <c r="T480" s="1"/>
      <c r="U480" s="1"/>
      <c r="V480" s="1"/>
      <c r="W480" s="1"/>
      <c r="X480" s="5"/>
      <c r="Y480" s="1"/>
      <c r="Z480" s="1"/>
      <c r="AA480" s="3"/>
    </row>
    <row r="481" spans="1:27" ht="24.95" customHeight="1">
      <c r="A481" s="1"/>
      <c r="B481" s="1"/>
      <c r="C481" s="48" t="str">
        <f>IF(B481="","",IFERROR(INDEX(SakesV5[銘柄],MATCH(B481,SakesV5[酒款ID],0)),"酒款ID未找到"))</f>
        <v/>
      </c>
      <c r="D481" s="48" t="str">
        <f>IF(B481="","",IFERROR(INDEX(SakesV5[酒款],MATCH(B481,SakesV5[酒款ID],0)),"酒款ID未找到"))</f>
        <v/>
      </c>
      <c r="E481" s="1"/>
      <c r="F481" s="1"/>
      <c r="G481" s="1"/>
      <c r="H481" s="3"/>
      <c r="I481" s="3"/>
      <c r="J481" s="23"/>
      <c r="K481" s="23"/>
      <c r="L481" s="4"/>
      <c r="M481" s="19"/>
      <c r="N481" s="1"/>
      <c r="O481" s="5"/>
      <c r="P481" s="4"/>
      <c r="Q481" s="1"/>
      <c r="R481" s="1"/>
      <c r="S481" s="3"/>
      <c r="T481" s="1"/>
      <c r="U481" s="1"/>
      <c r="V481" s="1"/>
      <c r="W481" s="1"/>
      <c r="X481" s="5"/>
      <c r="Y481" s="1"/>
      <c r="Z481" s="1"/>
      <c r="AA481" s="3"/>
    </row>
    <row r="482" spans="1:27" ht="24.95" customHeight="1">
      <c r="A482" s="1"/>
      <c r="B482" s="48"/>
      <c r="C482" s="48" t="str">
        <f>IF(B482="","",IFERROR(INDEX(SakesV5[銘柄],MATCH(B482,SakesV5[酒款ID],0)),"酒款ID未找到"))</f>
        <v/>
      </c>
      <c r="D482" s="48" t="str">
        <f>IF(B482="","",IFERROR(INDEX(SakesV5[酒款],MATCH(B482,SakesV5[酒款ID],0)),"酒款ID未找到"))</f>
        <v/>
      </c>
      <c r="E482" s="1"/>
      <c r="F482" s="1"/>
      <c r="G482" s="1"/>
      <c r="H482" s="3"/>
      <c r="I482" s="3"/>
      <c r="J482" s="23"/>
      <c r="K482" s="23"/>
      <c r="L482" s="4"/>
      <c r="M482" s="19"/>
      <c r="N482" s="1"/>
      <c r="O482" s="5"/>
      <c r="P482" s="4"/>
      <c r="Q482" s="1"/>
      <c r="R482" s="1"/>
      <c r="S482" s="3"/>
      <c r="T482" s="1"/>
      <c r="U482" s="1"/>
      <c r="V482" s="1"/>
      <c r="W482" s="1"/>
      <c r="X482" s="5"/>
      <c r="Y482" s="1"/>
      <c r="Z482" s="1"/>
      <c r="AA482" s="3"/>
    </row>
    <row r="483" spans="1:27" ht="24.95" customHeight="1">
      <c r="A483" s="1"/>
      <c r="B483" s="48"/>
      <c r="C483" s="48" t="str">
        <f>IF(B483="","",IFERROR(INDEX(SakesV5[銘柄],MATCH(B483,SakesV5[酒款ID],0)),"酒款ID未找到"))</f>
        <v/>
      </c>
      <c r="D483" s="48" t="str">
        <f>IF(B483="","",IFERROR(INDEX(SakesV5[酒款],MATCH(B483,SakesV5[酒款ID],0)),"酒款ID未找到"))</f>
        <v/>
      </c>
      <c r="E483" s="1"/>
      <c r="F483" s="1"/>
      <c r="G483" s="1"/>
      <c r="H483" s="3"/>
      <c r="I483" s="3"/>
      <c r="J483" s="23"/>
      <c r="K483" s="23"/>
      <c r="L483" s="4"/>
      <c r="M483" s="19"/>
      <c r="N483" s="1"/>
      <c r="O483" s="5"/>
      <c r="P483" s="4"/>
      <c r="Q483" s="1"/>
      <c r="R483" s="1"/>
      <c r="S483" s="3"/>
      <c r="T483" s="1"/>
      <c r="U483" s="1"/>
      <c r="V483" s="1"/>
      <c r="W483" s="1"/>
      <c r="X483" s="5"/>
      <c r="Y483" s="1"/>
      <c r="Z483" s="1"/>
      <c r="AA483" s="3"/>
    </row>
    <row r="484" spans="1:27" ht="24.95" customHeight="1">
      <c r="A484" s="1"/>
      <c r="B484" s="48"/>
      <c r="C484" s="48" t="str">
        <f>IF(B484="","",IFERROR(INDEX(SakesV5[銘柄],MATCH(B484,SakesV5[酒款ID],0)),"酒款ID未找到"))</f>
        <v/>
      </c>
      <c r="D484" s="48" t="str">
        <f>IF(B484="","",IFERROR(INDEX(SakesV5[酒款],MATCH(B484,SakesV5[酒款ID],0)),"酒款ID未找到"))</f>
        <v/>
      </c>
      <c r="E484" s="1"/>
      <c r="F484" s="1"/>
      <c r="G484" s="1"/>
      <c r="H484" s="3"/>
      <c r="I484" s="3"/>
      <c r="J484" s="23"/>
      <c r="K484" s="23"/>
      <c r="L484" s="4"/>
      <c r="M484" s="19"/>
      <c r="N484" s="1"/>
      <c r="O484" s="5"/>
      <c r="P484" s="4"/>
      <c r="Q484" s="1"/>
      <c r="R484" s="1"/>
      <c r="S484" s="3"/>
      <c r="T484" s="1"/>
      <c r="U484" s="1"/>
      <c r="V484" s="1"/>
      <c r="W484" s="1"/>
      <c r="X484" s="5"/>
      <c r="Y484" s="1"/>
      <c r="Z484" s="1"/>
      <c r="AA484" s="3"/>
    </row>
    <row r="485" spans="1:27" ht="24.95" customHeight="1">
      <c r="A485" s="1"/>
      <c r="B485" s="48"/>
      <c r="C485" s="48" t="str">
        <f>IF(B485="","",IFERROR(INDEX(SakesV5[銘柄],MATCH(B485,SakesV5[酒款ID],0)),"酒款ID未找到"))</f>
        <v/>
      </c>
      <c r="D485" s="48" t="str">
        <f>IF(B485="","",IFERROR(INDEX(SakesV5[酒款],MATCH(B485,SakesV5[酒款ID],0)),"酒款ID未找到"))</f>
        <v/>
      </c>
      <c r="E485" s="1"/>
      <c r="F485" s="1"/>
      <c r="G485" s="1"/>
      <c r="H485" s="3"/>
      <c r="I485" s="3"/>
      <c r="J485" s="23"/>
      <c r="K485" s="23"/>
      <c r="L485" s="4"/>
      <c r="M485" s="19"/>
      <c r="N485" s="1"/>
      <c r="O485" s="5"/>
      <c r="P485" s="4"/>
      <c r="Q485" s="1"/>
      <c r="R485" s="1"/>
      <c r="S485" s="3"/>
      <c r="T485" s="1"/>
      <c r="U485" s="1"/>
      <c r="V485" s="1"/>
      <c r="W485" s="1"/>
      <c r="X485" s="5"/>
      <c r="Y485" s="1"/>
      <c r="Z485" s="1"/>
      <c r="AA485" s="3"/>
    </row>
    <row r="486" spans="1:27" ht="24.95" customHeight="1">
      <c r="A486" s="1"/>
      <c r="B486" s="48"/>
      <c r="C486" s="48" t="str">
        <f>IF(B486="","",IFERROR(INDEX(SakesV5[銘柄],MATCH(B486,SakesV5[酒款ID],0)),"酒款ID未找到"))</f>
        <v/>
      </c>
      <c r="D486" s="48" t="str">
        <f>IF(B486="","",IFERROR(INDEX(SakesV5[酒款],MATCH(B486,SakesV5[酒款ID],0)),"酒款ID未找到"))</f>
        <v/>
      </c>
      <c r="E486" s="1"/>
      <c r="F486" s="1"/>
      <c r="G486" s="1"/>
      <c r="H486" s="3"/>
      <c r="I486" s="3"/>
      <c r="J486" s="23"/>
      <c r="K486" s="23"/>
      <c r="L486" s="4"/>
      <c r="M486" s="19"/>
      <c r="N486" s="1"/>
      <c r="O486" s="5"/>
      <c r="P486" s="4"/>
      <c r="Q486" s="1"/>
      <c r="R486" s="1"/>
      <c r="S486" s="3"/>
      <c r="T486" s="1"/>
      <c r="U486" s="1"/>
      <c r="V486" s="1"/>
      <c r="W486" s="1"/>
      <c r="X486" s="5"/>
      <c r="Y486" s="1"/>
      <c r="Z486" s="1"/>
      <c r="AA486" s="3"/>
    </row>
    <row r="487" spans="1:27" ht="24.95" customHeight="1">
      <c r="A487" s="1"/>
      <c r="B487" s="48"/>
      <c r="C487" s="48" t="str">
        <f>IF(B487="","",IFERROR(INDEX(SakesV5[銘柄],MATCH(B487,SakesV5[酒款ID],0)),"酒款ID未找到"))</f>
        <v/>
      </c>
      <c r="D487" s="48" t="str">
        <f>IF(B487="","",IFERROR(INDEX(SakesV5[酒款],MATCH(B487,SakesV5[酒款ID],0)),"酒款ID未找到"))</f>
        <v/>
      </c>
      <c r="E487" s="1"/>
      <c r="F487" s="1"/>
      <c r="G487" s="1"/>
      <c r="H487" s="3"/>
      <c r="I487" s="3"/>
      <c r="J487" s="23"/>
      <c r="K487" s="23"/>
      <c r="L487" s="4"/>
      <c r="M487" s="19"/>
      <c r="N487" s="1"/>
      <c r="O487" s="5"/>
      <c r="P487" s="4"/>
      <c r="Q487" s="1"/>
      <c r="R487" s="1"/>
      <c r="S487" s="3"/>
      <c r="T487" s="1"/>
      <c r="U487" s="1"/>
      <c r="V487" s="1"/>
      <c r="W487" s="1"/>
      <c r="X487" s="5"/>
      <c r="Y487" s="1"/>
      <c r="Z487" s="1"/>
      <c r="AA487" s="3"/>
    </row>
  </sheetData>
  <phoneticPr fontId="20" type="noConversion"/>
  <conditionalFormatting sqref="A2:A487">
    <cfRule type="duplicateValues" dxfId="2" priority="5"/>
  </conditionalFormatting>
  <conditionalFormatting sqref="C2:D487">
    <cfRule type="containsText" dxfId="1" priority="4" operator="containsText" text="酒款ID未找到"/>
  </conditionalFormatting>
  <conditionalFormatting sqref="N177">
    <cfRule type="containsText" dxfId="0" priority="1" operator="containsText" text="酒款ID未找到"/>
  </conditionalFormatting>
  <dataValidations count="7">
    <dataValidation type="list" sqref="F2:F487" xr:uid="{00000000-0002-0000-0100-000007000000}">
      <formula1>"單杯,整瓶,試飲,其他"</formula1>
    </dataValidation>
    <dataValidation type="list" sqref="Q2:Q487" xr:uid="{00000000-0002-0000-0100-000001000000}">
      <formula1>"TWD,JPY,CNY,USD,EUR,HKD,KRW,其他"</formula1>
    </dataValidation>
    <dataValidation type="list" sqref="Z2:Z487" xr:uid="{00000000-0002-0000-0100-000003000000}">
      <formula1>"公開,不公開"</formula1>
    </dataValidation>
    <dataValidation type="list" sqref="B2:B487" xr:uid="{00000000-0002-0000-0100-000004000000}">
      <formula1>INDIRECT("SakesV5[酒款ID]")</formula1>
    </dataValidation>
    <dataValidation type="decimal" showErrorMessage="1" errorTitle="請輸入1～5分" error="評分須介於1與5之間，可填小數，例如3.5、4.2；未評分可留空。" sqref="J2:K487" xr:uid="{00000000-0002-0000-0100-000006000000}">
      <formula1>1</formula1>
      <formula2>5</formula2>
    </dataValidation>
    <dataValidation type="list" sqref="H85:H95 G148:H148 G2:G147 G149:G487" xr:uid="{00000000-0002-0000-0100-000000000000}">
      <formula1>"自購,套餐／活動,招待,贈送,他人分享,分攤,其他"</formula1>
    </dataValidation>
    <dataValidation type="list" sqref="R2:R487 Q142" xr:uid="{00000000-0002-0000-0100-000002000000}">
      <formula1>"每杯,每瓶,套餐／活動總額,分攤金額,其他"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4"/>
  <sheetViews>
    <sheetView showGridLines="0" workbookViewId="0"/>
  </sheetViews>
  <sheetFormatPr defaultRowHeight="14.25"/>
  <cols>
    <col min="1" max="1" width="24" customWidth="1"/>
    <col min="2" max="2" width="105" customWidth="1"/>
  </cols>
  <sheetData>
    <row r="1" spans="1:2" ht="57.95" customHeight="1">
      <c r="A1" s="6" t="s">
        <v>1050</v>
      </c>
      <c r="B1" s="6" t="s">
        <v>1051</v>
      </c>
    </row>
    <row r="2" spans="1:2" ht="42" customHeight="1">
      <c r="A2" s="7" t="s">
        <v>1052</v>
      </c>
      <c r="B2" s="3" t="s">
        <v>1053</v>
      </c>
    </row>
    <row r="3" spans="1:2" ht="42" customHeight="1">
      <c r="A3" s="7" t="s">
        <v>1054</v>
      </c>
      <c r="B3" s="3" t="s">
        <v>1055</v>
      </c>
    </row>
    <row r="4" spans="1:2" ht="42" customHeight="1">
      <c r="A4" s="7" t="s">
        <v>760</v>
      </c>
      <c r="B4" s="3" t="s">
        <v>1056</v>
      </c>
    </row>
    <row r="5" spans="1:2" ht="42" customHeight="1">
      <c r="A5" s="7" t="s">
        <v>757</v>
      </c>
      <c r="B5" s="3" t="s">
        <v>1057</v>
      </c>
    </row>
    <row r="6" spans="1:2" ht="42" customHeight="1">
      <c r="A6" s="7" t="s">
        <v>758</v>
      </c>
      <c r="B6" s="3" t="s">
        <v>1058</v>
      </c>
    </row>
    <row r="7" spans="1:2" ht="42" customHeight="1">
      <c r="A7" s="7" t="s">
        <v>1059</v>
      </c>
      <c r="B7" s="3" t="s">
        <v>1060</v>
      </c>
    </row>
    <row r="8" spans="1:2" ht="42" customHeight="1">
      <c r="A8" s="7" t="s">
        <v>1061</v>
      </c>
      <c r="B8" s="3" t="s">
        <v>1062</v>
      </c>
    </row>
    <row r="9" spans="1:2" ht="42" customHeight="1">
      <c r="A9" s="7" t="s">
        <v>1063</v>
      </c>
      <c r="B9" s="3" t="s">
        <v>1064</v>
      </c>
    </row>
    <row r="10" spans="1:2" ht="42" customHeight="1">
      <c r="A10" s="7" t="s">
        <v>1065</v>
      </c>
      <c r="B10" s="3" t="s">
        <v>1066</v>
      </c>
    </row>
    <row r="11" spans="1:2" ht="42" customHeight="1">
      <c r="A11" s="7" t="s">
        <v>1067</v>
      </c>
      <c r="B11" s="3" t="s">
        <v>1068</v>
      </c>
    </row>
    <row r="12" spans="1:2" ht="42" customHeight="1">
      <c r="A12" s="7" t="s">
        <v>766</v>
      </c>
      <c r="B12" s="3" t="s">
        <v>1069</v>
      </c>
    </row>
    <row r="13" spans="1:2" ht="42" customHeight="1">
      <c r="A13" s="7" t="s">
        <v>1070</v>
      </c>
      <c r="B13" s="3" t="s">
        <v>1071</v>
      </c>
    </row>
    <row r="14" spans="1:2" ht="42" customHeight="1">
      <c r="A14" s="7" t="s">
        <v>1072</v>
      </c>
      <c r="B14" s="3" t="s">
        <v>1073</v>
      </c>
    </row>
    <row r="15" spans="1:2" ht="42" customHeight="1">
      <c r="A15" s="7" t="s">
        <v>776</v>
      </c>
      <c r="B15" s="3" t="s">
        <v>1074</v>
      </c>
    </row>
    <row r="16" spans="1:2" ht="42" customHeight="1">
      <c r="A16" s="7" t="s">
        <v>1075</v>
      </c>
      <c r="B16" s="3" t="s">
        <v>1076</v>
      </c>
    </row>
    <row r="17" spans="1:2" ht="42" customHeight="1">
      <c r="A17" s="7" t="s">
        <v>1077</v>
      </c>
      <c r="B17" s="3" t="s">
        <v>1078</v>
      </c>
    </row>
    <row r="18" spans="1:2" ht="42" customHeight="1">
      <c r="A18" s="7" t="s">
        <v>1079</v>
      </c>
      <c r="B18" s="3" t="s">
        <v>1080</v>
      </c>
    </row>
    <row r="19" spans="1:2" ht="42" customHeight="1">
      <c r="A19" s="7" t="s">
        <v>1081</v>
      </c>
      <c r="B19" s="3" t="s">
        <v>1082</v>
      </c>
    </row>
    <row r="20" spans="1:2" ht="42" customHeight="1">
      <c r="A20" s="7" t="s">
        <v>1083</v>
      </c>
      <c r="B20" s="3" t="s">
        <v>1084</v>
      </c>
    </row>
    <row r="21" spans="1:2" ht="42" customHeight="1">
      <c r="A21" s="7" t="s">
        <v>775</v>
      </c>
      <c r="B21" s="3" t="s">
        <v>1085</v>
      </c>
    </row>
    <row r="22" spans="1:2" ht="69.95" customHeight="1">
      <c r="A22" s="7" t="s">
        <v>1086</v>
      </c>
      <c r="B22" s="21" t="s">
        <v>1087</v>
      </c>
    </row>
    <row r="23" spans="1:2" ht="69.95" customHeight="1">
      <c r="A23" s="7" t="s">
        <v>1088</v>
      </c>
      <c r="B23" s="21" t="s">
        <v>1089</v>
      </c>
    </row>
    <row r="24" spans="1:2" ht="69.95" customHeight="1">
      <c r="A24" s="7" t="s">
        <v>1090</v>
      </c>
      <c r="B24" s="21" t="s">
        <v>1091</v>
      </c>
    </row>
    <row r="25" spans="1:2" ht="42" customHeight="1">
      <c r="A25" s="7" t="s">
        <v>1092</v>
      </c>
      <c r="B25" s="3" t="s">
        <v>1093</v>
      </c>
    </row>
    <row r="26" spans="1:2" ht="42" customHeight="1">
      <c r="A26" s="7" t="s">
        <v>1094</v>
      </c>
      <c r="B26" s="3" t="s">
        <v>1109</v>
      </c>
    </row>
    <row r="27" spans="1:2" ht="42" customHeight="1">
      <c r="A27" s="7" t="s">
        <v>1095</v>
      </c>
      <c r="B27" s="3" t="s">
        <v>1110</v>
      </c>
    </row>
    <row r="28" spans="1:2" ht="42" customHeight="1">
      <c r="A28" s="7" t="s">
        <v>1096</v>
      </c>
      <c r="B28" s="3" t="s">
        <v>1097</v>
      </c>
    </row>
    <row r="29" spans="1:2" ht="42" customHeight="1">
      <c r="A29" s="20" t="s">
        <v>1098</v>
      </c>
      <c r="B29" s="21" t="s">
        <v>1099</v>
      </c>
    </row>
    <row r="30" spans="1:2" ht="42" customHeight="1">
      <c r="A30" s="20" t="s">
        <v>1100</v>
      </c>
      <c r="B30" s="21" t="s">
        <v>1101</v>
      </c>
    </row>
    <row r="31" spans="1:2" ht="42" customHeight="1">
      <c r="A31" s="20" t="s">
        <v>1102</v>
      </c>
      <c r="B31" s="21" t="s">
        <v>1111</v>
      </c>
    </row>
    <row r="32" spans="1:2" ht="62.1" customHeight="1">
      <c r="A32" s="24" t="s">
        <v>1103</v>
      </c>
      <c r="B32" s="25" t="s">
        <v>1104</v>
      </c>
    </row>
    <row r="33" spans="1:2" ht="62.1" customHeight="1">
      <c r="A33" s="24" t="s">
        <v>1105</v>
      </c>
      <c r="B33" s="25" t="s">
        <v>1106</v>
      </c>
    </row>
    <row r="34" spans="1:2" ht="62.1" customHeight="1">
      <c r="A34" s="24" t="s">
        <v>1107</v>
      </c>
      <c r="B34" s="25" t="s">
        <v>1108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酒款主資料</vt:lpstr>
      <vt:lpstr>品飲紀錄</vt:lpstr>
      <vt:lpstr>填寫說明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Cheng Han Shi (石承翰)</cp:lastModifiedBy>
  <dcterms:modified xsi:type="dcterms:W3CDTF">2026-10-05T08:40:43Z</dcterms:modified>
</cp:coreProperties>
</file>